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5158166\Desktop\引き継ぎ\"/>
    </mc:Choice>
  </mc:AlternateContent>
  <xr:revisionPtr revIDLastSave="0" documentId="13_ncr:1_{8AB6D9CC-88DB-44FC-B688-A2F87B2943A6}" xr6:coauthVersionLast="47" xr6:coauthVersionMax="47" xr10:uidLastSave="{00000000-0000-0000-0000-000000000000}"/>
  <bookViews>
    <workbookView xWindow="585" yWindow="675" windowWidth="31425" windowHeight="19710" xr2:uid="{50F68188-E9E4-4A4B-9EB6-C6DEC423E3D0}"/>
  </bookViews>
  <sheets>
    <sheet name="Sheet1" sheetId="1" r:id="rId1"/>
    <sheet name="Sheet1 (2)" sheetId="2" r:id="rId2"/>
    <sheet name="期初 (WEB)"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5" i="3" l="1"/>
</calcChain>
</file>

<file path=xl/sharedStrings.xml><?xml version="1.0" encoding="utf-8"?>
<sst xmlns="http://schemas.openxmlformats.org/spreadsheetml/2006/main" count="476" uniqueCount="387">
  <si>
    <t>引き継ぎ</t>
    <rPh sb="0" eb="1">
      <t>ヒ</t>
    </rPh>
    <rPh sb="2" eb="3">
      <t>ツ</t>
    </rPh>
    <phoneticPr fontId="2"/>
  </si>
  <si>
    <t>ベトナム</t>
    <phoneticPr fontId="2"/>
  </si>
  <si>
    <t>一般 | [KABD/DPDC/PAPVN/PRDCV] GIoT Fridge</t>
    <phoneticPr fontId="2"/>
  </si>
  <si>
    <t>[KABD/DPDC/PAPVN/PRDCV] GIoT Fridge</t>
  </si>
  <si>
    <t>Teams</t>
    <phoneticPr fontId="2"/>
  </si>
  <si>
    <t>FIOT、三並、萩原</t>
    <rPh sb="5" eb="7">
      <t>ミナミ</t>
    </rPh>
    <rPh sb="8" eb="10">
      <t>ハギワラ</t>
    </rPh>
    <phoneticPr fontId="2"/>
  </si>
  <si>
    <t>Dinh Manh Nguyen: RF Service Usage Monthly Report | [KABD/DPDC/PAPVN/PRDCV] GIoT Fridge &gt; RF Operation | Microsoft Teams</t>
  </si>
  <si>
    <t>マンスリーレポート</t>
    <phoneticPr fontId="2"/>
  </si>
  <si>
    <r>
      <t>OpenLink</t>
    </r>
    <r>
      <rPr>
        <u/>
        <sz val="11"/>
        <color theme="10"/>
        <rFont val="游ゴシック"/>
        <family val="3"/>
        <charset val="128"/>
        <scheme val="minor"/>
      </rPr>
      <t>: \\10.76.205.156\02各課共通\24制御開発\E-IoT\11_運用保守\04_GIoT</t>
    </r>
  </si>
  <si>
    <t>FIoT</t>
    <phoneticPr fontId="2"/>
  </si>
  <si>
    <t>更新検討DR、更新決定DR参加</t>
    <rPh sb="0" eb="4">
      <t>コウシンケントウ</t>
    </rPh>
    <rPh sb="7" eb="9">
      <t>コウシン</t>
    </rPh>
    <rPh sb="9" eb="11">
      <t>ケッテイ</t>
    </rPh>
    <rPh sb="13" eb="15">
      <t>サンカ</t>
    </rPh>
    <phoneticPr fontId="2"/>
  </si>
  <si>
    <t>資料</t>
    <rPh sb="0" eb="2">
      <t>シリョウ</t>
    </rPh>
    <phoneticPr fontId="2"/>
  </si>
  <si>
    <r>
      <t>OpenLink</t>
    </r>
    <r>
      <rPr>
        <u/>
        <sz val="11"/>
        <color theme="10"/>
        <rFont val="游ゴシック"/>
        <family val="3"/>
        <charset val="128"/>
        <scheme val="minor"/>
      </rPr>
      <t>: \\10.76.205.156\02各課共通\24制御開発\E-IoT\01_開発\04_GIoT</t>
    </r>
  </si>
  <si>
    <t>業務整理</t>
    <rPh sb="0" eb="4">
      <t>ギョウムセイリ</t>
    </rPh>
    <phoneticPr fontId="2"/>
  </si>
  <si>
    <t>運用業務整理</t>
    <rPh sb="0" eb="6">
      <t>ウンヨウギョウムセイリ</t>
    </rPh>
    <phoneticPr fontId="2"/>
  </si>
  <si>
    <t>運用担当として実権を掌握する</t>
    <rPh sb="0" eb="4">
      <t>ウンヨウタントウ</t>
    </rPh>
    <rPh sb="7" eb="9">
      <t>ジッケン</t>
    </rPh>
    <rPh sb="10" eb="12">
      <t>ショウアク</t>
    </rPh>
    <phoneticPr fontId="2"/>
  </si>
  <si>
    <t>運用構造化、可視化、再現性高い運用モデル、ナレッジ化率50%以上</t>
    <rPh sb="0" eb="2">
      <t>ウンヨウ</t>
    </rPh>
    <rPh sb="2" eb="5">
      <t>コウゾウカ</t>
    </rPh>
    <rPh sb="6" eb="9">
      <t>カシカ</t>
    </rPh>
    <rPh sb="10" eb="13">
      <t>サイゲンセイ</t>
    </rPh>
    <rPh sb="13" eb="14">
      <t>タカ</t>
    </rPh>
    <rPh sb="15" eb="17">
      <t>ウンヨウ</t>
    </rPh>
    <rPh sb="25" eb="27">
      <t>カリツ</t>
    </rPh>
    <rPh sb="30" eb="32">
      <t>イジョウ</t>
    </rPh>
    <phoneticPr fontId="2"/>
  </si>
  <si>
    <t>サーバ緊急連絡網更新(260601)</t>
    <rPh sb="3" eb="5">
      <t>キンキュウ</t>
    </rPh>
    <rPh sb="5" eb="8">
      <t>レンラクモウ</t>
    </rPh>
    <rPh sb="8" eb="10">
      <t>コウシン</t>
    </rPh>
    <phoneticPr fontId="2"/>
  </si>
  <si>
    <t>Hoashi Masakazu (帆足 正和): Yoshioka Yu (吉岡 優) 南谷さんから情報頂きました。こちらでお願いします。 | 01_みんなのタスク</t>
  </si>
  <si>
    <t>WNI契約対応</t>
    <rPh sb="3" eb="7">
      <t>ケイヤクタイオウ</t>
    </rPh>
    <phoneticPr fontId="2"/>
  </si>
  <si>
    <t>覚書完成</t>
    <rPh sb="0" eb="4">
      <t>オボエガキカンセイ</t>
    </rPh>
    <phoneticPr fontId="2"/>
  </si>
  <si>
    <t>日付の変更は合意</t>
    <rPh sb="0" eb="2">
      <t>ヒヅケ</t>
    </rPh>
    <rPh sb="3" eb="5">
      <t>ヘンコウ</t>
    </rPh>
    <rPh sb="6" eb="8">
      <t>ゴウイ</t>
    </rPh>
    <phoneticPr fontId="2"/>
  </si>
  <si>
    <t>契約の全体は、契約書・サービス仕様書・覚書で構成される</t>
    <rPh sb="0" eb="2">
      <t>ケイヤク</t>
    </rPh>
    <rPh sb="3" eb="5">
      <t>ゼンタイ</t>
    </rPh>
    <rPh sb="7" eb="10">
      <t>ケイヤクショ</t>
    </rPh>
    <rPh sb="15" eb="18">
      <t>シヨウショ</t>
    </rPh>
    <rPh sb="19" eb="21">
      <t>オボエガキ</t>
    </rPh>
    <rPh sb="22" eb="24">
      <t>コウセイ</t>
    </rPh>
    <phoneticPr fontId="2"/>
  </si>
  <si>
    <t>サービス仕様書に記載の設定表とは？</t>
    <rPh sb="4" eb="7">
      <t>シヨウショ</t>
    </rPh>
    <rPh sb="8" eb="10">
      <t>キサイ</t>
    </rPh>
    <rPh sb="11" eb="14">
      <t>セッテイヒョウ</t>
    </rPh>
    <phoneticPr fontId="2"/>
  </si>
  <si>
    <t>260427_2143メールにて吉岡さんよりWNI問い合わせ送信</t>
    <rPh sb="16" eb="18">
      <t>ヨシオカ</t>
    </rPh>
    <rPh sb="25" eb="26">
      <t>ト</t>
    </rPh>
    <rPh sb="27" eb="28">
      <t>ア</t>
    </rPh>
    <rPh sb="30" eb="32">
      <t>ソウシン</t>
    </rPh>
    <phoneticPr fontId="2"/>
  </si>
  <si>
    <t>サービス仕様書に、防災テキスト基本コンテンツ提供、と記載あり、この内容がAPI仕様書、でOKか？</t>
    <rPh sb="4" eb="7">
      <t>シヨウショ</t>
    </rPh>
    <rPh sb="9" eb="11">
      <t>ボウサイ</t>
    </rPh>
    <rPh sb="15" eb="17">
      <t>キホン</t>
    </rPh>
    <rPh sb="22" eb="24">
      <t>テイキョウ</t>
    </rPh>
    <rPh sb="26" eb="28">
      <t>キサイ</t>
    </rPh>
    <rPh sb="33" eb="35">
      <t>ナイヨウ</t>
    </rPh>
    <rPh sb="39" eb="42">
      <t>シヨウショ</t>
    </rPh>
    <phoneticPr fontId="2"/>
  </si>
  <si>
    <t>サービス仕様書はどのサービス仕様書が有効？今回のならその記載は？</t>
    <rPh sb="4" eb="7">
      <t>シヨウショ</t>
    </rPh>
    <rPh sb="14" eb="17">
      <t>シヨウショ</t>
    </rPh>
    <rPh sb="18" eb="20">
      <t>ユウコウ</t>
    </rPh>
    <rPh sb="21" eb="23">
      <t>コンカイ</t>
    </rPh>
    <rPh sb="28" eb="30">
      <t>キサイ</t>
    </rPh>
    <phoneticPr fontId="2"/>
  </si>
  <si>
    <t>API仕様書確認</t>
    <rPh sb="3" eb="5">
      <t>シヨウ</t>
    </rPh>
    <rPh sb="5" eb="6">
      <t>ショ</t>
    </rPh>
    <rPh sb="6" eb="8">
      <t>カクニン</t>
    </rPh>
    <phoneticPr fontId="2"/>
  </si>
  <si>
    <t>23年9月28日覚書確認、承認者部長？とWNI取締役？</t>
    <rPh sb="2" eb="3">
      <t>ネン</t>
    </rPh>
    <rPh sb="4" eb="5">
      <t>ガツ</t>
    </rPh>
    <rPh sb="7" eb="8">
      <t>ニチ</t>
    </rPh>
    <rPh sb="8" eb="10">
      <t>オボエガキ</t>
    </rPh>
    <rPh sb="10" eb="12">
      <t>カクニン</t>
    </rPh>
    <rPh sb="13" eb="16">
      <t>ショウニンシャ</t>
    </rPh>
    <rPh sb="16" eb="18">
      <t>ブチョウ</t>
    </rPh>
    <rPh sb="23" eb="26">
      <t>トリシマリヤク</t>
    </rPh>
    <phoneticPr fontId="2"/>
  </si>
  <si>
    <t>覚書吉岡さんからWNIへ押印版送付済み、一通返送待ち(260604)</t>
    <rPh sb="0" eb="2">
      <t>オボエガキ</t>
    </rPh>
    <rPh sb="2" eb="4">
      <t>ヨシオカ</t>
    </rPh>
    <rPh sb="12" eb="15">
      <t>オウインバン</t>
    </rPh>
    <rPh sb="15" eb="18">
      <t>ソウフズ</t>
    </rPh>
    <rPh sb="20" eb="25">
      <t>イッツウヘンソウマ</t>
    </rPh>
    <phoneticPr fontId="2"/>
  </si>
  <si>
    <t>サーバメンテナンス</t>
    <phoneticPr fontId="2"/>
  </si>
  <si>
    <t>プレートサーバ</t>
    <phoneticPr fontId="2"/>
  </si>
  <si>
    <t>RDSサポート切れ対応8.0.42→8.4(260731→290731)</t>
    <rPh sb="7" eb="8">
      <t>ギ</t>
    </rPh>
    <rPh sb="9" eb="11">
      <t>タイオウ</t>
    </rPh>
    <phoneticPr fontId="2"/>
  </si>
  <si>
    <t>[KITCHEN_PF-3274] MySQL8.0サポート終了対応（KPサーバ・各種サーバ：DIT様管理） | 課題の表示 | Backlog</t>
  </si>
  <si>
    <t>変更DR開催</t>
    <rPh sb="0" eb="2">
      <t>ヘンコウ</t>
    </rPh>
    <rPh sb="4" eb="6">
      <t>カイサイ</t>
    </rPh>
    <phoneticPr fontId="2"/>
  </si>
  <si>
    <r>
      <t>OpenLink</t>
    </r>
    <r>
      <rPr>
        <u/>
        <sz val="11"/>
        <color theme="10"/>
        <rFont val="游ゴシック"/>
        <family val="3"/>
        <charset val="128"/>
        <scheme val="minor"/>
      </rPr>
      <t>: \\10.76.205.156\02各課共通\24制御開発\E-IoT\41_リリース認定書</t>
    </r>
  </si>
  <si>
    <t>デマンドレスポンス影響確認</t>
    <rPh sb="9" eb="13">
      <t>エイキョウカクニン</t>
    </rPh>
    <phoneticPr fontId="2"/>
  </si>
  <si>
    <t>萩原さん確認</t>
    <rPh sb="0" eb="2">
      <t>ハギワラ</t>
    </rPh>
    <rPh sb="4" eb="6">
      <t>カクニン</t>
    </rPh>
    <phoneticPr fontId="2"/>
  </si>
  <si>
    <t>中電影響</t>
    <rPh sb="0" eb="2">
      <t>チュウデン</t>
    </rPh>
    <rPh sb="2" eb="4">
      <t>エイキョウ</t>
    </rPh>
    <phoneticPr fontId="2"/>
  </si>
  <si>
    <t>DRサーバ側影響</t>
    <rPh sb="5" eb="6">
      <t>ガワ</t>
    </rPh>
    <rPh sb="6" eb="8">
      <t>エイキョウ</t>
    </rPh>
    <phoneticPr fontId="2"/>
  </si>
  <si>
    <t>費用処理</t>
    <rPh sb="0" eb="4">
      <t>ヒヨウショリ</t>
    </rPh>
    <phoneticPr fontId="2"/>
  </si>
  <si>
    <t>プレートサーバ（★6/16）済</t>
    <rPh sb="14" eb="15">
      <t>スミ</t>
    </rPh>
    <phoneticPr fontId="2"/>
  </si>
  <si>
    <t>プレートサーバ（★8/19）</t>
    <phoneticPr fontId="2"/>
  </si>
  <si>
    <t>大内山さんメール黒田さん指摘対応</t>
    <rPh sb="0" eb="3">
      <t>オオウチヤマ</t>
    </rPh>
    <rPh sb="8" eb="10">
      <t>クロダ</t>
    </rPh>
    <rPh sb="12" eb="14">
      <t>シテキ</t>
    </rPh>
    <rPh sb="14" eb="16">
      <t>タイオウ</t>
    </rPh>
    <phoneticPr fontId="2"/>
  </si>
  <si>
    <t>プレートサーバ・デバイスサーバ脆弱性（井野さんソースは内から提供したもの？）</t>
    <rPh sb="15" eb="18">
      <t>ゼイジャクセイ</t>
    </rPh>
    <rPh sb="19" eb="21">
      <t>イノ</t>
    </rPh>
    <rPh sb="27" eb="28">
      <t>ウチ</t>
    </rPh>
    <rPh sb="30" eb="32">
      <t>テイキョウ</t>
    </rPh>
    <phoneticPr fontId="2"/>
  </si>
  <si>
    <t>V2V3flash変更対応</t>
    <rPh sb="9" eb="13">
      <t>ヘンコウタイオウ</t>
    </rPh>
    <phoneticPr fontId="2"/>
  </si>
  <si>
    <t>承認会議までの開発ステップ進め方決め</t>
    <rPh sb="0" eb="4">
      <t>ショウニンカイギ</t>
    </rPh>
    <rPh sb="7" eb="9">
      <t>カイハツ</t>
    </rPh>
    <rPh sb="13" eb="14">
      <t>スス</t>
    </rPh>
    <rPh sb="15" eb="16">
      <t>カタ</t>
    </rPh>
    <rPh sb="16" eb="17">
      <t>キ</t>
    </rPh>
    <phoneticPr fontId="2"/>
  </si>
  <si>
    <t>設変手続き、必要資料確認、承認者確認</t>
    <rPh sb="0" eb="2">
      <t>セツヘン</t>
    </rPh>
    <rPh sb="2" eb="4">
      <t>テツヅ</t>
    </rPh>
    <rPh sb="6" eb="12">
      <t>ヒツヨウシリョウカクニン</t>
    </rPh>
    <rPh sb="13" eb="18">
      <t>ショウニンシャカクニン</t>
    </rPh>
    <phoneticPr fontId="2"/>
  </si>
  <si>
    <t>まとめ資料を作成して三並さん古川さんレビュー(滝澤さんは三並さん経由)</t>
    <rPh sb="3" eb="5">
      <t>シリョウ</t>
    </rPh>
    <rPh sb="6" eb="8">
      <t>サクセイ</t>
    </rPh>
    <rPh sb="10" eb="12">
      <t>ミナミ</t>
    </rPh>
    <rPh sb="14" eb="16">
      <t>フルカワ</t>
    </rPh>
    <rPh sb="23" eb="25">
      <t>タキザワ</t>
    </rPh>
    <rPh sb="28" eb="30">
      <t>ミナミ</t>
    </rPh>
    <rPh sb="32" eb="34">
      <t>ケイユ</t>
    </rPh>
    <phoneticPr fontId="2"/>
  </si>
  <si>
    <t>変更内容まとめ</t>
    <rPh sb="0" eb="4">
      <t>ヘンコウナイヨウ</t>
    </rPh>
    <phoneticPr fontId="2"/>
  </si>
  <si>
    <t>IoTモジュールの変更のみで、冷蔵庫ソフト/ハードに変更なし</t>
    <rPh sb="9" eb="11">
      <t>ヘンコウ</t>
    </rPh>
    <rPh sb="15" eb="18">
      <t>レイゾウコ</t>
    </rPh>
    <rPh sb="26" eb="28">
      <t>ヘンコウ</t>
    </rPh>
    <phoneticPr fontId="2"/>
  </si>
  <si>
    <t>V3モジュール</t>
    <phoneticPr fontId="2"/>
  </si>
  <si>
    <t>ハード</t>
    <phoneticPr fontId="2"/>
  </si>
  <si>
    <t>Flashメモリ変更</t>
    <rPh sb="8" eb="10">
      <t>ヘンコウ</t>
    </rPh>
    <phoneticPr fontId="2"/>
  </si>
  <si>
    <t>抵抗値変更</t>
    <rPh sb="0" eb="5">
      <t>テイコウチヘンコウ</t>
    </rPh>
    <phoneticPr fontId="2"/>
  </si>
  <si>
    <t>ソフト</t>
    <phoneticPr fontId="2"/>
  </si>
  <si>
    <t>SDK更新</t>
    <rPh sb="3" eb="5">
      <t>コウシン</t>
    </rPh>
    <phoneticPr fontId="2"/>
  </si>
  <si>
    <t>V2モジュール</t>
    <phoneticPr fontId="2"/>
  </si>
  <si>
    <t>量産終了のためCS品対応のみ</t>
    <rPh sb="0" eb="2">
      <t>リョウサン</t>
    </rPh>
    <rPh sb="2" eb="4">
      <t>シュウリョウ</t>
    </rPh>
    <rPh sb="9" eb="10">
      <t>ヒン</t>
    </rPh>
    <rPh sb="10" eb="12">
      <t>タイオウ</t>
    </rPh>
    <phoneticPr fontId="2"/>
  </si>
  <si>
    <t>工程対応のファイルは？まとめる</t>
    <rPh sb="0" eb="4">
      <t>コウテイタイオウ</t>
    </rPh>
    <phoneticPr fontId="2"/>
  </si>
  <si>
    <t>テスト結果まとめ</t>
    <rPh sb="3" eb="5">
      <t>ケッカ</t>
    </rPh>
    <phoneticPr fontId="2"/>
  </si>
  <si>
    <t>V2OTAテストまだ</t>
    <phoneticPr fontId="2"/>
  </si>
  <si>
    <t>金華録新マップまだ</t>
    <rPh sb="0" eb="3">
      <t>キンカロク</t>
    </rPh>
    <rPh sb="3" eb="4">
      <t>シン</t>
    </rPh>
    <phoneticPr fontId="2"/>
  </si>
  <si>
    <t>JC-STAR</t>
    <phoneticPr fontId="2"/>
  </si>
  <si>
    <t>IPA返事待ち中</t>
    <rPh sb="3" eb="5">
      <t>ヘンジ</t>
    </rPh>
    <rPh sb="5" eb="6">
      <t>マ</t>
    </rPh>
    <rPh sb="7" eb="8">
      <t>チュウ</t>
    </rPh>
    <phoneticPr fontId="2"/>
  </si>
  <si>
    <t>FW変更対応確認済み、必要な申請完了</t>
    <rPh sb="2" eb="4">
      <t>ヘンコウ</t>
    </rPh>
    <rPh sb="4" eb="9">
      <t>タイオウカクニンズ</t>
    </rPh>
    <rPh sb="11" eb="13">
      <t>ヒツヨウ</t>
    </rPh>
    <rPh sb="14" eb="18">
      <t>シンセイカンリョウ</t>
    </rPh>
    <phoneticPr fontId="2"/>
  </si>
  <si>
    <t>OTA実機テスト完了</t>
    <rPh sb="3" eb="5">
      <t>ジッキ</t>
    </rPh>
    <rPh sb="8" eb="10">
      <t>カンリョウ</t>
    </rPh>
    <phoneticPr fontId="2"/>
  </si>
  <si>
    <t>最終FW日程確認★、その後脆弱性試験withソフト品質強化部</t>
    <rPh sb="0" eb="2">
      <t>サイシュウ</t>
    </rPh>
    <rPh sb="4" eb="6">
      <t>ニッテイ</t>
    </rPh>
    <rPh sb="6" eb="8">
      <t>カクニン</t>
    </rPh>
    <rPh sb="12" eb="13">
      <t>ゴ</t>
    </rPh>
    <rPh sb="13" eb="18">
      <t>ゼイジャクセイシケン</t>
    </rPh>
    <rPh sb="25" eb="27">
      <t>ヒンシツ</t>
    </rPh>
    <rPh sb="27" eb="29">
      <t>キョウカ</t>
    </rPh>
    <rPh sb="29" eb="30">
      <t>ブ</t>
    </rPh>
    <phoneticPr fontId="2"/>
  </si>
  <si>
    <t>全体取りまとめ　帆足</t>
    <rPh sb="0" eb="3">
      <t>ゼンタイト</t>
    </rPh>
    <rPh sb="8" eb="10">
      <t>ホアシ</t>
    </rPh>
    <phoneticPr fontId="2"/>
  </si>
  <si>
    <t>工場・調達対応　宇佐美さん</t>
    <rPh sb="0" eb="2">
      <t>コウジョウ</t>
    </rPh>
    <rPh sb="3" eb="5">
      <t>チョウタツ</t>
    </rPh>
    <rPh sb="5" eb="7">
      <t>タイオウ</t>
    </rPh>
    <rPh sb="8" eb="11">
      <t>ウサミ</t>
    </rPh>
    <phoneticPr fontId="2"/>
  </si>
  <si>
    <t>ハード対応　河西さん</t>
    <rPh sb="3" eb="5">
      <t>タイオウ</t>
    </rPh>
    <rPh sb="6" eb="8">
      <t>カワニシ</t>
    </rPh>
    <phoneticPr fontId="2"/>
  </si>
  <si>
    <t>ハードTDR対応</t>
    <rPh sb="6" eb="8">
      <t>タイオウ</t>
    </rPh>
    <phoneticPr fontId="2"/>
  </si>
  <si>
    <t>何が必要か川西さん確認する</t>
    <rPh sb="0" eb="1">
      <t>ナニ</t>
    </rPh>
    <rPh sb="2" eb="4">
      <t>ヒツヨウ</t>
    </rPh>
    <rPh sb="5" eb="7">
      <t>カワニシ</t>
    </rPh>
    <rPh sb="9" eb="11">
      <t>カクニン</t>
    </rPh>
    <phoneticPr fontId="2"/>
  </si>
  <si>
    <t>テスト</t>
    <phoneticPr fontId="2"/>
  </si>
  <si>
    <t>V3</t>
    <phoneticPr fontId="2"/>
  </si>
  <si>
    <t>V2</t>
    <phoneticPr fontId="2"/>
  </si>
  <si>
    <t>何の件で何のテストしたかをまとめる</t>
    <rPh sb="0" eb="1">
      <t>ナン</t>
    </rPh>
    <rPh sb="2" eb="3">
      <t>ケン</t>
    </rPh>
    <rPh sb="4" eb="5">
      <t>ナン</t>
    </rPh>
    <phoneticPr fontId="2"/>
  </si>
  <si>
    <t>所属変更とFwVerに"～"付けて様式2-6,2-10,修正申請書をIPA餅田さんへ提出(260603)</t>
    <rPh sb="0" eb="4">
      <t>ショゾクヘンコウ</t>
    </rPh>
    <rPh sb="14" eb="15">
      <t>ツ</t>
    </rPh>
    <rPh sb="17" eb="19">
      <t>ヨウシキ</t>
    </rPh>
    <rPh sb="28" eb="30">
      <t>シュウセイ</t>
    </rPh>
    <rPh sb="30" eb="33">
      <t>シンセイショ</t>
    </rPh>
    <rPh sb="37" eb="39">
      <t>モチダ</t>
    </rPh>
    <rPh sb="42" eb="44">
      <t>テイシュツ</t>
    </rPh>
    <phoneticPr fontId="2"/>
  </si>
  <si>
    <t>返事待ち★</t>
    <rPh sb="0" eb="3">
      <t>ヘンジマ</t>
    </rPh>
    <phoneticPr fontId="2"/>
  </si>
  <si>
    <t>追加機種一部中国工場生産の件も返事待ち★</t>
    <rPh sb="0" eb="4">
      <t>ツイカキシュ</t>
    </rPh>
    <rPh sb="4" eb="6">
      <t>イチブ</t>
    </rPh>
    <rPh sb="6" eb="10">
      <t>チュウゴクコウジョウ</t>
    </rPh>
    <rPh sb="10" eb="12">
      <t>セイサン</t>
    </rPh>
    <rPh sb="13" eb="14">
      <t>ケン</t>
    </rPh>
    <rPh sb="15" eb="18">
      <t>ヘンジマ</t>
    </rPh>
    <phoneticPr fontId="2"/>
  </si>
  <si>
    <t>テスト結果確認会開催</t>
    <rPh sb="3" eb="5">
      <t>ケッカ</t>
    </rPh>
    <rPh sb="5" eb="10">
      <t>カクニンカイカイサイ</t>
    </rPh>
    <phoneticPr fontId="2"/>
  </si>
  <si>
    <t>資料まとめ</t>
    <rPh sb="0" eb="2">
      <t>シリョウ</t>
    </rPh>
    <phoneticPr fontId="2"/>
  </si>
  <si>
    <t>三並さん古川さん遠藤さん事前報告</t>
    <rPh sb="0" eb="2">
      <t>ミナミ</t>
    </rPh>
    <rPh sb="4" eb="6">
      <t>フルカワ</t>
    </rPh>
    <rPh sb="8" eb="10">
      <t>エンドウ</t>
    </rPh>
    <rPh sb="12" eb="16">
      <t>ジゼンホウコク</t>
    </rPh>
    <phoneticPr fontId="2"/>
  </si>
  <si>
    <t>その他</t>
    <rPh sb="2" eb="3">
      <t>タ</t>
    </rPh>
    <phoneticPr fontId="2"/>
  </si>
  <si>
    <t>台湾輸出開発</t>
    <rPh sb="0" eb="2">
      <t>タイワン</t>
    </rPh>
    <rPh sb="2" eb="6">
      <t>ユシュツカイハツ</t>
    </rPh>
    <phoneticPr fontId="2"/>
  </si>
  <si>
    <t>取説修正　済</t>
    <rPh sb="0" eb="4">
      <t>トリセツシュウセイ</t>
    </rPh>
    <rPh sb="5" eb="6">
      <t>スミ</t>
    </rPh>
    <phoneticPr fontId="2"/>
  </si>
  <si>
    <t>テストDR準備　済</t>
    <rPh sb="5" eb="7">
      <t>ジュンビ</t>
    </rPh>
    <rPh sb="8" eb="9">
      <t>スミ</t>
    </rPh>
    <phoneticPr fontId="2"/>
  </si>
  <si>
    <t>仕様DR指摘事項対応　済</t>
    <rPh sb="0" eb="2">
      <t>シヨウ</t>
    </rPh>
    <rPh sb="4" eb="8">
      <t>シテキジコウ</t>
    </rPh>
    <rPh sb="8" eb="10">
      <t>タイオウ</t>
    </rPh>
    <rPh sb="11" eb="12">
      <t>スミ</t>
    </rPh>
    <phoneticPr fontId="2"/>
  </si>
  <si>
    <t>テスト　済</t>
    <rPh sb="4" eb="5">
      <t>スミ</t>
    </rPh>
    <phoneticPr fontId="2"/>
  </si>
  <si>
    <t>本番アプリリリース9/7AQ2～9/30の間で商企松本さん合意260716　済</t>
    <rPh sb="0" eb="2">
      <t>ホンバン</t>
    </rPh>
    <rPh sb="21" eb="22">
      <t>アイダ</t>
    </rPh>
    <rPh sb="23" eb="25">
      <t>ショウキ</t>
    </rPh>
    <rPh sb="25" eb="27">
      <t>マツモト</t>
    </rPh>
    <rPh sb="29" eb="31">
      <t>ゴウイ</t>
    </rPh>
    <rPh sb="38" eb="39">
      <t>スミ</t>
    </rPh>
    <phoneticPr fontId="2"/>
  </si>
  <si>
    <t>出荷日確認松尾さん9/17　260717済</t>
    <rPh sb="0" eb="5">
      <t>シュッカビカクニン</t>
    </rPh>
    <rPh sb="5" eb="7">
      <t>マツオ</t>
    </rPh>
    <rPh sb="20" eb="21">
      <t>スミ</t>
    </rPh>
    <phoneticPr fontId="2"/>
  </si>
  <si>
    <t>本番サーバ反映7/30頃、アプリ公開日程9/17頃、ストア申請9/7頃　PTW何さん張さん合意　260721済</t>
    <rPh sb="0" eb="2">
      <t>ホンバン</t>
    </rPh>
    <rPh sb="5" eb="7">
      <t>ハンエイ</t>
    </rPh>
    <rPh sb="11" eb="12">
      <t>ゴロ</t>
    </rPh>
    <rPh sb="16" eb="18">
      <t>コウカイ</t>
    </rPh>
    <rPh sb="18" eb="20">
      <t>ニッテイ</t>
    </rPh>
    <rPh sb="24" eb="25">
      <t>ゴロ</t>
    </rPh>
    <rPh sb="29" eb="31">
      <t>シンセイ</t>
    </rPh>
    <rPh sb="34" eb="35">
      <t>ゴロ</t>
    </rPh>
    <rPh sb="39" eb="40">
      <t>ナニ</t>
    </rPh>
    <rPh sb="42" eb="43">
      <t>チョウ</t>
    </rPh>
    <rPh sb="45" eb="47">
      <t>ゴウイ</t>
    </rPh>
    <rPh sb="54" eb="55">
      <t>スミ</t>
    </rPh>
    <phoneticPr fontId="2"/>
  </si>
  <si>
    <t>品証大内山さん浅野さんSIR実施の合意</t>
    <rPh sb="0" eb="2">
      <t>ヒンショウ</t>
    </rPh>
    <rPh sb="2" eb="5">
      <t>オオウチヤマ</t>
    </rPh>
    <rPh sb="7" eb="9">
      <t>アサノ</t>
    </rPh>
    <rPh sb="14" eb="16">
      <t>ジッシ</t>
    </rPh>
    <rPh sb="17" eb="19">
      <t>ゴウイ</t>
    </rPh>
    <phoneticPr fontId="2"/>
  </si>
  <si>
    <t>滝澤さん三並さんSIRの事前合意</t>
    <rPh sb="0" eb="2">
      <t>タキザワ</t>
    </rPh>
    <rPh sb="4" eb="6">
      <t>ミナミ</t>
    </rPh>
    <rPh sb="12" eb="16">
      <t>ジゼンゴウイ</t>
    </rPh>
    <phoneticPr fontId="2"/>
  </si>
  <si>
    <t>サービス認定書準備　260721済</t>
    <rPh sb="4" eb="9">
      <t>ニンテイショジュンビ</t>
    </rPh>
    <rPh sb="16" eb="17">
      <t>スミ</t>
    </rPh>
    <phoneticPr fontId="2"/>
  </si>
  <si>
    <t>QMS改善</t>
    <rPh sb="3" eb="5">
      <t>カイゼン</t>
    </rPh>
    <phoneticPr fontId="2"/>
  </si>
  <si>
    <t>第2版完了</t>
    <rPh sb="0" eb="1">
      <t>ダイ</t>
    </rPh>
    <rPh sb="2" eb="5">
      <t>ハンカンリョウ</t>
    </rPh>
    <phoneticPr fontId="2"/>
  </si>
  <si>
    <t>第3版</t>
    <rPh sb="0" eb="1">
      <t>ダイ</t>
    </rPh>
    <rPh sb="2" eb="3">
      <t>ハン</t>
    </rPh>
    <phoneticPr fontId="2"/>
  </si>
  <si>
    <t>チャレンジ案件</t>
    <rPh sb="5" eb="7">
      <t>アンケン</t>
    </rPh>
    <phoneticPr fontId="2"/>
  </si>
  <si>
    <t>AIクーリング</t>
    <phoneticPr fontId="2"/>
  </si>
  <si>
    <t>DX業務確認</t>
    <rPh sb="2" eb="6">
      <t>ギョウムカクニン</t>
    </rPh>
    <phoneticPr fontId="2"/>
  </si>
  <si>
    <t>設計ツールの標準化</t>
    <rPh sb="0" eb="2">
      <t>セッケイ</t>
    </rPh>
    <rPh sb="6" eb="9">
      <t>ヒョウジュンカ</t>
    </rPh>
    <phoneticPr fontId="2"/>
  </si>
  <si>
    <t>制御MBD量産活用</t>
    <rPh sb="0" eb="2">
      <t>セイギョ</t>
    </rPh>
    <rPh sb="5" eb="9">
      <t>リョウサンカツヨウ</t>
    </rPh>
    <phoneticPr fontId="2"/>
  </si>
  <si>
    <t>開発管理ダッシュボード増設、原価DX構築</t>
    <rPh sb="0" eb="4">
      <t>カイハツカンリ</t>
    </rPh>
    <rPh sb="11" eb="13">
      <t>ゾウセツ</t>
    </rPh>
    <rPh sb="14" eb="16">
      <t>ゲンカ</t>
    </rPh>
    <rPh sb="18" eb="20">
      <t>コウチク</t>
    </rPh>
    <phoneticPr fontId="2"/>
  </si>
  <si>
    <t>AIサポートのしくみ構築、AI個人活用拡大</t>
    <rPh sb="10" eb="12">
      <t>コウチク</t>
    </rPh>
    <rPh sb="15" eb="19">
      <t>コジンカツヨウ</t>
    </rPh>
    <rPh sb="19" eb="21">
      <t>カクダイ</t>
    </rPh>
    <phoneticPr fontId="2"/>
  </si>
  <si>
    <t>CU対応</t>
    <rPh sb="2" eb="4">
      <t>タイオウ</t>
    </rPh>
    <phoneticPr fontId="2"/>
  </si>
  <si>
    <t>感性価値</t>
    <rPh sb="0" eb="4">
      <t>カンセイカチ</t>
    </rPh>
    <phoneticPr fontId="2"/>
  </si>
  <si>
    <t>カメラ・KPレシピ</t>
    <phoneticPr fontId="2"/>
  </si>
  <si>
    <t>スキルMAP</t>
    <phoneticPr fontId="2"/>
  </si>
  <si>
    <t>L3対応</t>
    <rPh sb="2" eb="4">
      <t>タイオウ</t>
    </rPh>
    <phoneticPr fontId="2"/>
  </si>
  <si>
    <t>25年2月L3取得</t>
    <rPh sb="2" eb="3">
      <t>ネン</t>
    </rPh>
    <rPh sb="4" eb="5">
      <t>ガツ</t>
    </rPh>
    <rPh sb="7" eb="9">
      <t>シュトク</t>
    </rPh>
    <phoneticPr fontId="2"/>
  </si>
  <si>
    <t>28年2月までに更新必要</t>
    <rPh sb="2" eb="3">
      <t>ネン</t>
    </rPh>
    <rPh sb="4" eb="5">
      <t>ガツ</t>
    </rPh>
    <rPh sb="8" eb="10">
      <t>コウシン</t>
    </rPh>
    <rPh sb="10" eb="12">
      <t>ヒツヨウ</t>
    </rPh>
    <phoneticPr fontId="2"/>
  </si>
  <si>
    <t>やらない</t>
    <phoneticPr fontId="2"/>
  </si>
  <si>
    <t>PDP</t>
    <phoneticPr fontId="2"/>
  </si>
  <si>
    <t>PDP認証　コールバックURI変更</t>
    <phoneticPr fontId="2"/>
  </si>
  <si>
    <t>https://teams.microsoft.com/l/message/19:948632d530714949a4697b4b0a90cc09@thread.tacv2/1777340437872?tenantId=4863f5d6-4760-4589-be9c-42f82e075739&amp;groupId=588f1285-af65-4582-b91a-4eabf67560a9&amp;parentMessageId=1777340437872&amp;teamName=WiFi%E5%AE%B6%E9%9B%BB%E5%85%B1%E6%9C%89%E4%BC%9A&amp;channelName=%E6%83%85%E5%A0%B1%E5%85%B1%E6%9C%89&amp;createdTime=1777340437872</t>
    <phoneticPr fontId="2"/>
  </si>
  <si>
    <t>PDP東日本を東アジアに統合</t>
    <rPh sb="3" eb="6">
      <t>ヒガシニホン</t>
    </rPh>
    <rPh sb="7" eb="8">
      <t>ヒガシ</t>
    </rPh>
    <rPh sb="12" eb="14">
      <t>トウゴウ</t>
    </rPh>
    <phoneticPr fontId="2"/>
  </si>
  <si>
    <t>Yoshioka Yu (吉岡 優): PDPリージョン統合（B1） | 10_連絡事項</t>
  </si>
  <si>
    <t>正和さん、了解です。</t>
  </si>
  <si>
    <r>
      <t xml:space="preserve">あなたが求めている </t>
    </r>
    <r>
      <rPr>
        <b/>
        <sz val="11"/>
        <color theme="1"/>
        <rFont val="Meiryo UI"/>
        <family val="3"/>
        <charset val="128"/>
      </rPr>
      <t>「ナレッジ化率80%を達成するロードマップ（3・6・12ヶ月）」＋「実際に使えるナレッジテンプレート」＋「ABDに貼れる最終目標文」</t>
    </r>
    <r>
      <rPr>
        <sz val="11"/>
        <color theme="1"/>
        <rFont val="游ゴシック"/>
        <family val="2"/>
        <charset val="128"/>
        <scheme val="minor"/>
      </rPr>
      <t xml:space="preserve"> を、</t>
    </r>
  </si>
  <si>
    <r>
      <t>“チャレンジング評価を確実に取りに行く構造”</t>
    </r>
    <r>
      <rPr>
        <sz val="11"/>
        <color theme="1"/>
        <rFont val="游ゴシック"/>
        <family val="2"/>
        <charset val="128"/>
        <scheme val="minor"/>
      </rPr>
      <t xml:space="preserve"> でまとめます。</t>
    </r>
  </si>
  <si>
    <r>
      <t xml:space="preserve">以下は </t>
    </r>
    <r>
      <rPr>
        <b/>
        <sz val="11"/>
        <color theme="1"/>
        <rFont val="Meiryo UI"/>
        <family val="3"/>
        <charset val="128"/>
      </rPr>
      <t>そのまま業務計画・上司説明・ABDに使える完成版</t>
    </r>
    <r>
      <rPr>
        <sz val="11"/>
        <color theme="1"/>
        <rFont val="游ゴシック"/>
        <family val="2"/>
        <charset val="128"/>
        <scheme val="minor"/>
      </rPr>
      <t xml:space="preserve"> です。</t>
    </r>
  </si>
  <si>
    <t>🚀 ① ナレッジ化率80%を達成するロードマップ（3ヶ月・6ヶ月・12ヶ月）</t>
  </si>
  <si>
    <r>
      <t xml:space="preserve">あなたの業務に最適化した </t>
    </r>
    <r>
      <rPr>
        <b/>
        <sz val="11"/>
        <color theme="1"/>
        <rFont val="Meiryo UI"/>
        <family val="3"/>
        <charset val="128"/>
      </rPr>
      <t>3フェーズ構成（可視化 → 標準化 → 定着）</t>
    </r>
    <r>
      <rPr>
        <sz val="11"/>
        <color theme="1"/>
        <rFont val="游ゴシック"/>
        <family val="2"/>
        <charset val="128"/>
        <scheme val="minor"/>
      </rPr>
      <t xml:space="preserve"> に落とし込みます。</t>
    </r>
  </si>
  <si>
    <t>◆ 0〜3ヶ月：可視化フェーズ（現状のカオスを見える化）</t>
  </si>
  <si>
    <t>目的：複雑性の正体を明らかにし、ナレッジ化の土台を作る</t>
  </si>
  <si>
    <t>やること</t>
  </si>
  <si>
    <t>全アラートの棚卸し（種類・頻度・重複・担当）</t>
  </si>
  <si>
    <t>外注・社内の運用フローの可視化</t>
  </si>
  <si>
    <t>ログ・ナレッジの散在状況の整理</t>
  </si>
  <si>
    <t>属人化ポイントの抽出</t>
  </si>
  <si>
    <t>ナレッジ化の対象範囲を定義（何をナレッジ化するか）</t>
  </si>
  <si>
    <t>成果物</t>
  </si>
  <si>
    <t>運用実態マップ</t>
  </si>
  <si>
    <t>アラート体系マップ</t>
  </si>
  <si>
    <t>ナレッジ対象リスト</t>
  </si>
  <si>
    <t>属人化リスク一覧</t>
  </si>
  <si>
    <t>KPI</t>
  </si>
  <si>
    <t>可視化率 100%</t>
  </si>
  <si>
    <t>アラート分類の重複 20%削減（初期）</t>
  </si>
  <si>
    <t>◆ 4〜6ヶ月：標準化フェーズ（誰でも対応できる運用にする）</t>
  </si>
  <si>
    <t>目的：ナレッジ化率を上げるための“構造”を作る</t>
  </si>
  <si>
    <t>アラート分類体系の再設計</t>
  </si>
  <si>
    <t>判断基準（ルール）の明文化</t>
  </si>
  <si>
    <t>ログ参照ルールの標準化</t>
  </si>
  <si>
    <t>ナレッジテンプレートの統一</t>
  </si>
  <si>
    <t>外注向けガイドラインの作成</t>
  </si>
  <si>
    <t>AIによる要約・タグ付けのPoC</t>
  </si>
  <si>
    <t>標準運用手順書（SOP）</t>
  </si>
  <si>
    <t>ナレッジ体系（カテゴリ・タグ）</t>
  </si>
  <si>
    <t>外注向け標準ガイドライン</t>
  </si>
  <si>
    <t>AIナレッジ化PoCレポート</t>
  </si>
  <si>
    <t>ナレッジ化率 50%</t>
  </si>
  <si>
    <t>標準手順の遵守率 70%</t>
  </si>
  <si>
    <t>外注対応のばらつき 20%削減</t>
  </si>
  <si>
    <t>◆ 7〜12ヶ月：定着フェーズ（ナレッジが回る仕組みを作る）</t>
  </si>
  <si>
    <t>目的：ナレッジ化率80%を達成し、運用の再現性を確立する</t>
  </si>
  <si>
    <t>AIによるナレッジ自動生成の本格導入</t>
  </si>
  <si>
    <t>外注のナレッジ活用トレーニング</t>
  </si>
  <si>
    <t>ナレッジレビュー会の定例化</t>
  </si>
  <si>
    <t>MTTR改善サイクルの導入</t>
  </si>
  <si>
    <t>運用KPIダッシュボードの構築</t>
  </si>
  <si>
    <t>ナレッジ化自動化フロー</t>
  </si>
  <si>
    <t>運用KPIダッシュボード</t>
  </si>
  <si>
    <t>外注教育プログラム</t>
  </si>
  <si>
    <t>改善サイクル（PDCA）</t>
  </si>
  <si>
    <t>ナレッジ化率 80%（目標達成）</t>
  </si>
  <si>
    <t>外注対応のばらつき 30%削減</t>
  </si>
  <si>
    <t>MTTR 20〜30%短縮（間接効果）</t>
  </si>
  <si>
    <t>📘 ② 実際に使えるナレッジテンプレート（そのまま運用に使える）</t>
  </si>
  <si>
    <r>
      <t xml:space="preserve">以下は </t>
    </r>
    <r>
      <rPr>
        <b/>
        <sz val="11"/>
        <color theme="1"/>
        <rFont val="Meiryo UI"/>
        <family val="3"/>
        <charset val="128"/>
      </rPr>
      <t>外注・新人でも迷わず使える“再現性の高いテンプレート”</t>
    </r>
    <r>
      <rPr>
        <sz val="11"/>
        <color theme="1"/>
        <rFont val="游ゴシック"/>
        <family val="2"/>
        <charset val="128"/>
        <scheme val="minor"/>
      </rPr>
      <t xml:space="preserve"> です。</t>
    </r>
  </si>
  <si>
    <t>◆ ナレッジテンプレート（完成版）</t>
  </si>
  <si>
    <t>【タイトル】</t>
  </si>
  <si>
    <t>（例：通信断アラート：原因特定と対応手順）</t>
  </si>
  <si>
    <t>【アラート概要】</t>
  </si>
  <si>
    <t>・アラート名：</t>
  </si>
  <si>
    <t>・発生条件：</t>
  </si>
  <si>
    <t>・優先度：</t>
  </si>
  <si>
    <t>・影響範囲：</t>
  </si>
  <si>
    <t>【発生状況】</t>
  </si>
  <si>
    <t>・発生日時：</t>
  </si>
  <si>
    <t>・デバイス情報：</t>
  </si>
  <si>
    <t>・関連ログ（抜粋）：</t>
  </si>
  <si>
    <t>【原因候補（確度つき）】</t>
  </si>
  <si>
    <t>・原因1（確度：70%）：</t>
  </si>
  <si>
    <t>・原因2（確度：20%）：</t>
  </si>
  <si>
    <t>・原因3（確度：10%）：</t>
  </si>
  <si>
    <t>【対応手順（再現性のある手順）】</t>
  </si>
  <si>
    <t>【判断基準】</t>
  </si>
  <si>
    <t>・正常と異常の境界：</t>
  </si>
  <si>
    <t>・エスカレーション条件：</t>
  </si>
  <si>
    <t>【再発防止策】</t>
  </si>
  <si>
    <t>・短期：</t>
  </si>
  <si>
    <t>・中長期：</t>
  </si>
  <si>
    <t>【タグ】</t>
  </si>
  <si>
    <t>（例：通信断／Wi-Fi／クラウド／外注対応／ログ解析）</t>
  </si>
  <si>
    <t>【関連ナレッジ】</t>
  </si>
  <si>
    <t>・類似障害：</t>
  </si>
  <si>
    <t>・関連手順：</t>
  </si>
  <si>
    <t>🏆 ③ ABDに貼る最終目標文（チャレンジング評価を狙う版）</t>
  </si>
  <si>
    <r>
      <t xml:space="preserve">あなたの状況（外注一次対応・複雑な運用・AI活用）に完全最適化した </t>
    </r>
    <r>
      <rPr>
        <b/>
        <sz val="11"/>
        <color theme="1"/>
        <rFont val="Meiryo UI"/>
        <family val="3"/>
        <charset val="128"/>
      </rPr>
      <t>完成版</t>
    </r>
    <r>
      <rPr>
        <sz val="11"/>
        <color theme="1"/>
        <rFont val="游ゴシック"/>
        <family val="2"/>
        <charset val="128"/>
        <scheme val="minor"/>
      </rPr>
      <t xml:space="preserve"> です。</t>
    </r>
  </si>
  <si>
    <t>◆ ABD最終目標文（チャレンジング評価を確実に取る構造）</t>
  </si>
  <si>
    <t>【業務目標】</t>
  </si>
  <si>
    <r>
      <rPr>
        <sz val="10"/>
        <color theme="1"/>
        <rFont val="ＭＳ ゴシック"/>
        <family val="3"/>
        <charset val="128"/>
      </rPr>
      <t>多岐多項目に膨らんだ</t>
    </r>
    <r>
      <rPr>
        <sz val="10"/>
        <color theme="1"/>
        <rFont val="Arial"/>
        <family val="2"/>
      </rPr>
      <t>IoT</t>
    </r>
    <r>
      <rPr>
        <sz val="10"/>
        <color theme="1"/>
        <rFont val="ＭＳ ゴシック"/>
        <family val="3"/>
        <charset val="128"/>
      </rPr>
      <t>サービス運用の実態を可視化・構造化し、</t>
    </r>
    <phoneticPr fontId="13"/>
  </si>
  <si>
    <r>
      <rPr>
        <sz val="10"/>
        <color theme="1"/>
        <rFont val="ＭＳ ゴシック"/>
        <family val="3"/>
        <charset val="128"/>
      </rPr>
      <t>外注・新人・他部署でも対応できる</t>
    </r>
    <r>
      <rPr>
        <sz val="10"/>
        <color theme="1"/>
        <rFont val="Arial Unicode MS"/>
        <family val="2"/>
        <charset val="128"/>
      </rPr>
      <t>“</t>
    </r>
    <r>
      <rPr>
        <sz val="10"/>
        <color theme="1"/>
        <rFont val="ＭＳ ゴシック"/>
        <family val="3"/>
        <charset val="128"/>
      </rPr>
      <t>再現性の高い運用モデル</t>
    </r>
    <r>
      <rPr>
        <sz val="10"/>
        <color theme="1"/>
        <rFont val="Arial Unicode MS"/>
        <family val="2"/>
        <charset val="128"/>
      </rPr>
      <t>”</t>
    </r>
    <r>
      <rPr>
        <sz val="10"/>
        <color theme="1"/>
        <rFont val="ＭＳ ゴシック"/>
        <family val="3"/>
        <charset val="128"/>
      </rPr>
      <t>を構築する</t>
    </r>
    <phoneticPr fontId="13"/>
  </si>
  <si>
    <t>（挑戦度：チャレンジング）</t>
  </si>
  <si>
    <t>【取り組み内容】</t>
  </si>
  <si>
    <t>・運用実態（アラート体系・ログ体系・判断基準・属人化ポイント）を可視化し、構造的課題を特定する</t>
  </si>
  <si>
    <t>・アラート分類体系、判断基準、ログ参照ルールを再設計し、標準化を推進する</t>
  </si>
  <si>
    <t>・ナレッジテンプレートを統一し、対応内容のナレッジ化率80%を達成する</t>
  </si>
  <si>
    <t>・AIを活用して要約・タグ付け・類似障害検索を自動化し、ナレッジ化効率を50%向上させる</t>
  </si>
  <si>
    <t>・外注一次対応の前後プロセスを改善し、対応品質のばらつきを30%削減する</t>
  </si>
  <si>
    <t>【成果指標】</t>
  </si>
  <si>
    <t>・ナレッジ化率80%</t>
  </si>
  <si>
    <t>・アラート分類の重複20%削減</t>
  </si>
  <si>
    <t>・標準手順の遵守率90%</t>
  </si>
  <si>
    <t>・外注対応のばらつき30%削減</t>
  </si>
  <si>
    <t>・MTTR 20〜30%短縮（間接効果）</t>
  </si>
  <si>
    <t>🎯 最後に：このセットは「チャレンジング評価」を取るために最適化されています</t>
  </si>
  <si>
    <t>複雑性 → 構造化 → 標準化 → AI活用 → 定着</t>
  </si>
  <si>
    <t>という“変革の流れ”が明確</t>
  </si>
  <si>
    <r>
      <t xml:space="preserve">外注運用という制約の中で </t>
    </r>
    <r>
      <rPr>
        <b/>
        <sz val="11"/>
        <color theme="1"/>
        <rFont val="Meiryo UI"/>
        <family val="3"/>
        <charset val="128"/>
      </rPr>
      <t>あなたが主導できる領域に集中</t>
    </r>
  </si>
  <si>
    <t>数字（KPI）が明確で、上司が評価しやすい</t>
  </si>
  <si>
    <t>今年の方針「価値創出 × コスト削減」に完全一致</t>
  </si>
  <si>
    <t>必要なら、</t>
  </si>
  <si>
    <t>上司説明用の3分プレゼン台本</t>
  </si>
  <si>
    <t>ロードマップの図解版</t>
  </si>
  <si>
    <t>ナレッジテンプレートのAI自動生成プロンプト</t>
  </si>
  <si>
    <t>も作れます。</t>
  </si>
  <si>
    <r>
      <t>結論から言うと、</t>
    </r>
    <r>
      <rPr>
        <b/>
        <sz val="11"/>
        <color theme="1"/>
        <rFont val="Meiryo UI"/>
        <family val="3"/>
        <charset val="128"/>
      </rPr>
      <t>ナレッジ化率80%は“かなり高い”水準</t>
    </r>
    <r>
      <rPr>
        <sz val="11"/>
        <color theme="1"/>
        <rFont val="游ゴシック"/>
        <family val="2"/>
        <charset val="128"/>
        <scheme val="minor"/>
      </rPr>
      <t>です。</t>
    </r>
  </si>
  <si>
    <r>
      <t xml:space="preserve">理由は、運用現場では </t>
    </r>
    <r>
      <rPr>
        <b/>
        <sz val="11"/>
        <color theme="1"/>
        <rFont val="Meiryo UI"/>
        <family val="3"/>
        <charset val="128"/>
      </rPr>
      <t>ナレッジ化できない対応が必ず一定割合存在する</t>
    </r>
    <r>
      <rPr>
        <sz val="11"/>
        <color theme="1"/>
        <rFont val="游ゴシック"/>
        <family val="2"/>
        <charset val="128"/>
        <scheme val="minor"/>
      </rPr>
      <t>ため、</t>
    </r>
  </si>
  <si>
    <r>
      <t xml:space="preserve">80% という数字は </t>
    </r>
    <r>
      <rPr>
        <b/>
        <sz val="11"/>
        <color theme="1"/>
        <rFont val="Meiryo UI"/>
        <family val="3"/>
        <charset val="128"/>
      </rPr>
      <t>「属人化をほぼ解消し、再現性の高い運用を実現した状態」</t>
    </r>
    <r>
      <rPr>
        <sz val="11"/>
        <color theme="1"/>
        <rFont val="游ゴシック"/>
        <family val="2"/>
        <charset val="128"/>
        <scheme val="minor"/>
      </rPr>
      <t xml:space="preserve"> を意味するからです。</t>
    </r>
  </si>
  <si>
    <t>あなたの上司に「これは高い目標だ」と納得してもらうために、</t>
  </si>
  <si>
    <r>
      <t>なぜ80%が高いのか</t>
    </r>
    <r>
      <rPr>
        <sz val="11"/>
        <color theme="1"/>
        <rFont val="游ゴシック"/>
        <family val="2"/>
        <charset val="128"/>
        <scheme val="minor"/>
      </rPr>
      <t>を“運用の現実”に基づいて整理します。</t>
    </r>
  </si>
  <si>
    <t>🎯 1. 運用現場では「ナレッジ化できない対応」が必ず発生する</t>
  </si>
  <si>
    <t>IoTサービス運用では、以下のようなケースはナレッジ化が難しい：</t>
  </si>
  <si>
    <t>単発の特殊ケース</t>
  </si>
  <si>
    <t>デバイス固有の不具合</t>
  </si>
  <si>
    <t>外注の判断ミスや誤操作</t>
  </si>
  <si>
    <t>ログが不十分で原因不明</t>
  </si>
  <si>
    <t>再現性がない障害</t>
  </si>
  <si>
    <t>仕様変更やリリース直後の不安定動作</t>
  </si>
  <si>
    <r>
      <t xml:space="preserve">これらは </t>
    </r>
    <r>
      <rPr>
        <b/>
        <sz val="11"/>
        <color theme="1"/>
        <rFont val="Meiryo UI"/>
        <family val="3"/>
        <charset val="128"/>
      </rPr>
      <t>全体の20〜40%を占めることが多い</t>
    </r>
    <r>
      <rPr>
        <sz val="11"/>
        <color theme="1"/>
        <rFont val="游ゴシック"/>
        <family val="2"/>
        <charset val="128"/>
        <scheme val="minor"/>
      </rPr>
      <t>。</t>
    </r>
  </si>
  <si>
    <t>つまり、</t>
  </si>
  <si>
    <t>ナレッジ化率100%は現実的に不可能</t>
  </si>
  <si>
    <t>→ 80%は“限界に近い高水準”。</t>
  </si>
  <si>
    <t>🎯 2. 一般的な運用組織のナレッジ化率は「30〜50%」が多い</t>
  </si>
  <si>
    <t>多くの企業では：</t>
  </si>
  <si>
    <t>対応内容が文章化されない</t>
  </si>
  <si>
    <t>外注が書かない</t>
  </si>
  <si>
    <t>属人化した判断が多い</t>
  </si>
  <si>
    <t>ナレッジのフォーマットがバラバラ</t>
  </si>
  <si>
    <t>ナレッジの棚卸しが追いつかない</t>
  </si>
  <si>
    <t>結果として、</t>
  </si>
  <si>
    <r>
      <t>ナレッジ化率は30〜50%に留まることが多い</t>
    </r>
    <r>
      <rPr>
        <sz val="11"/>
        <color theme="1"/>
        <rFont val="游ゴシック"/>
        <family val="2"/>
        <charset val="128"/>
        <scheme val="minor"/>
      </rPr>
      <t>。</t>
    </r>
  </si>
  <si>
    <r>
      <t xml:space="preserve">そこから </t>
    </r>
    <r>
      <rPr>
        <b/>
        <sz val="11"/>
        <color theme="1"/>
        <rFont val="Meiryo UI"/>
        <family val="3"/>
        <charset val="128"/>
      </rPr>
      <t>80%に引き上げる</t>
    </r>
    <r>
      <rPr>
        <sz val="11"/>
        <color theme="1"/>
        <rFont val="游ゴシック"/>
        <family val="2"/>
        <charset val="128"/>
        <scheme val="minor"/>
      </rPr>
      <t>というのは、</t>
    </r>
  </si>
  <si>
    <r>
      <t>組織文化・プロセス・ツールのすべてを変えるレベルの挑戦</t>
    </r>
    <r>
      <rPr>
        <sz val="11"/>
        <color theme="1"/>
        <rFont val="游ゴシック"/>
        <family val="2"/>
        <charset val="128"/>
        <scheme val="minor"/>
      </rPr>
      <t>。</t>
    </r>
  </si>
  <si>
    <t>🎯 3. ナレッジ化率80%は「外注運用の品質を劇的に改善する」水準</t>
  </si>
  <si>
    <t>外注運用では、ナレッジがないと：</t>
  </si>
  <si>
    <t>対応品質がバラつく</t>
  </si>
  <si>
    <t>MTTRが伸びる</t>
  </si>
  <si>
    <t>誤判断が増える</t>
  </si>
  <si>
    <t>再発防止が進まない</t>
  </si>
  <si>
    <t>ナレッジ化率80%は、</t>
  </si>
  <si>
    <r>
      <t>外注が“迷わず対応できる”状態に近い</t>
    </r>
    <r>
      <rPr>
        <sz val="11"/>
        <color theme="1"/>
        <rFont val="游ゴシック"/>
        <family val="2"/>
        <charset val="128"/>
        <scheme val="minor"/>
      </rPr>
      <t>。</t>
    </r>
  </si>
  <si>
    <r>
      <t xml:space="preserve">これは </t>
    </r>
    <r>
      <rPr>
        <b/>
        <sz val="11"/>
        <color theme="1"/>
        <rFont val="Meiryo UI"/>
        <family val="3"/>
        <charset val="128"/>
      </rPr>
      <t>運用品質の底上げ</t>
    </r>
    <r>
      <rPr>
        <sz val="11"/>
        <color theme="1"/>
        <rFont val="游ゴシック"/>
        <family val="2"/>
        <charset val="128"/>
        <scheme val="minor"/>
      </rPr>
      <t>に直結するため、</t>
    </r>
  </si>
  <si>
    <t>上司は「これは価値がある」と判断しやすい。</t>
  </si>
  <si>
    <t>🎯 4. 80%を達成するには“構造改革”が必要で、十分チャレンジング</t>
  </si>
  <si>
    <t>ナレッジ化率80%を実現するには、以下が必要：</t>
  </si>
  <si>
    <t>アラート体系の整理</t>
  </si>
  <si>
    <t>判断基準の明文化</t>
  </si>
  <si>
    <t>外注の教育プロセス整備</t>
  </si>
  <si>
    <t>AIによる要約・タグ付けの自動化</t>
  </si>
  <si>
    <t>ナレッジの検索性向上</t>
  </si>
  <si>
    <t>運用フローの標準化</t>
  </si>
  <si>
    <r>
      <t xml:space="preserve">これは </t>
    </r>
    <r>
      <rPr>
        <b/>
        <sz val="11"/>
        <color theme="1"/>
        <rFont val="Meiryo UI"/>
        <family val="3"/>
        <charset val="128"/>
      </rPr>
      <t>単なる文書化ではなく、運用モデルの再構築</t>
    </r>
    <r>
      <rPr>
        <sz val="11"/>
        <color theme="1"/>
        <rFont val="游ゴシック"/>
        <family val="2"/>
        <charset val="128"/>
        <scheme val="minor"/>
      </rPr>
      <t>。</t>
    </r>
  </si>
  <si>
    <t>だからこそ、</t>
  </si>
  <si>
    <r>
      <t>80%は“チャレンジング”として十分説得力がある</t>
    </r>
    <r>
      <rPr>
        <sz val="11"/>
        <color theme="1"/>
        <rFont val="游ゴシック"/>
        <family val="2"/>
        <charset val="128"/>
        <scheme val="minor"/>
      </rPr>
      <t>。</t>
    </r>
  </si>
  <si>
    <t>🎯 5. 上司に説明するときの一言（説得力MAX）</t>
  </si>
  <si>
    <t>ナレッジ化率80%は、一般的な運用組織の30〜50%を大きく上回る水準で、</t>
  </si>
  <si>
    <t>属人化をほぼ解消し、外注でも再現性の高い対応ができる状態を意味します。</t>
  </si>
  <si>
    <t>達成にはアラート体系・判断基準・ログ参照ルールの再設計が必要で、</t>
  </si>
  <si>
    <t>運用モデルの構造改革に相当するため、十分チャレンジングな目標です。</t>
  </si>
  <si>
    <r>
      <t xml:space="preserve">この説明は </t>
    </r>
    <r>
      <rPr>
        <b/>
        <sz val="11"/>
        <color theme="1"/>
        <rFont val="Meiryo UI"/>
        <family val="3"/>
        <charset val="128"/>
      </rPr>
      <t>上司が「確かに高い目標だ」と納得する鉄板のロジック</t>
    </r>
    <r>
      <rPr>
        <sz val="11"/>
        <color theme="1"/>
        <rFont val="游ゴシック"/>
        <family val="2"/>
        <charset val="128"/>
        <scheme val="minor"/>
      </rPr>
      <t>です。</t>
    </r>
  </si>
  <si>
    <t>✨ 次に作れるもの</t>
  </si>
  <si>
    <r>
      <t xml:space="preserve">ナレッジ化率80%を達成するための </t>
    </r>
    <r>
      <rPr>
        <b/>
        <sz val="11"/>
        <color theme="1"/>
        <rFont val="Meiryo UI"/>
        <family val="3"/>
        <charset val="128"/>
      </rPr>
      <t>ロードマップ（3ヶ月・6ヶ月・12ヶ月）</t>
    </r>
  </si>
  <si>
    <t>ナレッジテンプレート（実際に使えるフォーマット）</t>
  </si>
  <si>
    <r>
      <t xml:space="preserve">ABDに貼る </t>
    </r>
    <r>
      <rPr>
        <b/>
        <sz val="11"/>
        <color theme="1"/>
        <rFont val="Meiryo UI"/>
        <family val="3"/>
        <charset val="128"/>
      </rPr>
      <t>最終目標文（チャレンジング評価を狙う版）</t>
    </r>
  </si>
  <si>
    <t>どれを作りましょうか。</t>
  </si>
  <si>
    <r>
      <t xml:space="preserve">タイトルの最後を </t>
    </r>
    <r>
      <rPr>
        <b/>
        <sz val="11"/>
        <color theme="1"/>
        <rFont val="Meiryo UI"/>
        <family val="3"/>
        <charset val="128"/>
      </rPr>
      <t>「〜効率化」</t>
    </r>
    <r>
      <rPr>
        <sz val="11"/>
        <color theme="1"/>
        <rFont val="游ゴシック"/>
        <family val="2"/>
        <charset val="128"/>
        <scheme val="minor"/>
      </rPr>
      <t xml:space="preserve"> で締めると、テーマ全体が「改善」ではなく「仕組み改革による効率化」という“成果志向”に見え、チャレンジング度が上がります。</t>
    </r>
  </si>
  <si>
    <t>あなたのテーマは</t>
  </si>
  <si>
    <t>「複雑化したIoT運用を可視化・構造化し、誰でも対応できる運用モデルを作る」</t>
  </si>
  <si>
    <r>
      <t xml:space="preserve">という本質なので、それを踏まえて </t>
    </r>
    <r>
      <rPr>
        <b/>
        <sz val="11"/>
        <color theme="1"/>
        <rFont val="Meiryo UI"/>
        <family val="3"/>
        <charset val="128"/>
      </rPr>
      <t>“効率化”で締める最適なタイトル</t>
    </r>
    <r>
      <rPr>
        <sz val="11"/>
        <color theme="1"/>
        <rFont val="游ゴシック"/>
        <family val="2"/>
        <charset val="128"/>
        <scheme val="minor"/>
      </rPr>
      <t xml:space="preserve"> を作りました。</t>
    </r>
  </si>
  <si>
    <t>🎯 タイトル案（最後が「効率化」で終わる・評価者に刺さるもの）</t>
  </si>
  <si>
    <t>⭐ 最もおすすめ（あなたのテーマに最適化）</t>
  </si>
  <si>
    <t>「多岐多項目に膨らんだIoT運用の可視化・構造化による再現性モデル構築と運用効率化」</t>
    <phoneticPr fontId="13"/>
  </si>
  <si>
    <t>理由：</t>
  </si>
  <si>
    <t>可視化 → 構造化 → モデル構築 → 効率化 の流れが一文で伝わる</t>
  </si>
  <si>
    <t>“再現性モデル”が外注運用に強く効く</t>
  </si>
  <si>
    <t>“効率化”で締めることで成果が明確</t>
  </si>
  <si>
    <t>チャレンジング評価に必要な「構造改革」のニュアンスが強い</t>
  </si>
  <si>
    <t>🎯 他の強力な候補（ニュアンス別）</t>
  </si>
  <si>
    <t>■ 構造改革を強調したい場合</t>
  </si>
  <si>
    <t>「複雑化したIoT運用の構造改革とナレッジ基盤整備による運用効率化」</t>
  </si>
  <si>
    <t>「IoT運用のカオスを構造化し、標準化とナレッジ化で実現する運用効率化」</t>
  </si>
  <si>
    <t>■ ナレッジ化を中心に据えたい場合</t>
  </si>
  <si>
    <t>「誰もが対応できるIoT運用ナレッジ体系の構築と運用効率化」</t>
  </si>
  <si>
    <t>「属人化を解消するIoT運用ナレッジモデル再構築と運用効率化」</t>
  </si>
  <si>
    <t>■ AI活用を前面に出したい場合</t>
  </si>
  <si>
    <t>「AI活用によるIoT運用の可視化・構造化とナレッジ体系整備による運用効率化」</t>
  </si>
  <si>
    <t>「AIを活用したIoT運用の標準化・ナレッジ化と運用効率化」</t>
  </si>
  <si>
    <t>■ 外注運用との相性を強調したい場合</t>
  </si>
  <si>
    <t>「外注・新人でも再現できるIoT運用モデル構築と運用効率化」</t>
  </si>
  <si>
    <t>「外注一次対応を支えるIoT運用ナレッジ基盤整備と運用効率化」</t>
  </si>
  <si>
    <t>🎖 最終的にどれを選ぶべきか？</t>
  </si>
  <si>
    <t>あなたの業務内容・今年の方針（価値創出 × コスト削減）・外注運用という制約を踏まえると、</t>
  </si>
  <si>
    <t>最もバランスが良く、評価者に刺さるのはこれです：</t>
  </si>
  <si>
    <t>⭐ 「多岐多項目に膨らんだIoT運用の可視化・構造化による再現性モデル構築と運用効率化」</t>
  </si>
  <si>
    <t>“多岐多項目” → 現状の複雑性</t>
  </si>
  <si>
    <t>“可視化・構造化” → あなたの主導領域</t>
  </si>
  <si>
    <t>“再現性モデル構築” → 外注運用の本質課題に直結</t>
  </si>
  <si>
    <t>“運用効率化” → 組織方針（コスト削減）に完全一致</t>
  </si>
  <si>
    <t>必要なら、このタイトルに合わせて</t>
  </si>
  <si>
    <t>・3行のテーマ説明</t>
  </si>
  <si>
    <t>・上司説明用の要約</t>
  </si>
  <si>
    <t>・ABDの最終目標文の微調整</t>
  </si>
  <si>
    <t>氏名</t>
    <rPh sb="0" eb="2">
      <t>シメイ</t>
    </rPh>
    <phoneticPr fontId="13"/>
  </si>
  <si>
    <t>ランク</t>
    <phoneticPr fontId="13"/>
  </si>
  <si>
    <t>（リスト選択）</t>
    <rPh sb="4" eb="6">
      <t>センタク</t>
    </rPh>
    <phoneticPr fontId="13"/>
  </si>
  <si>
    <t>所属組織の役割（Target Designに転記)</t>
    <rPh sb="0" eb="4">
      <t>ショゾクソシキ</t>
    </rPh>
    <rPh sb="5" eb="7">
      <t>ヤクワリ</t>
    </rPh>
    <rPh sb="22" eb="24">
      <t>テンキ</t>
    </rPh>
    <phoneticPr fontId="13"/>
  </si>
  <si>
    <t>・技術起点で感性価値を創る
・GSC・GPF拡大による原価力向上
・BPR・開発効率化
・組織・人を強くするカルチャーづくり</t>
    <rPh sb="1" eb="3">
      <t>ギジュツ</t>
    </rPh>
    <rPh sb="3" eb="5">
      <t>キテン</t>
    </rPh>
    <rPh sb="6" eb="10">
      <t>カンセイカチ</t>
    </rPh>
    <rPh sb="11" eb="12">
      <t>ツク</t>
    </rPh>
    <rPh sb="22" eb="24">
      <t>カクダイ</t>
    </rPh>
    <rPh sb="27" eb="32">
      <t>ゲンカリョクコウジョウ</t>
    </rPh>
    <rPh sb="38" eb="43">
      <t>カイハツコウリツカ</t>
    </rPh>
    <rPh sb="45" eb="47">
      <t>ソシキ</t>
    </rPh>
    <rPh sb="48" eb="49">
      <t>ヒト</t>
    </rPh>
    <rPh sb="50" eb="51">
      <t>ツヨ</t>
    </rPh>
    <phoneticPr fontId="13"/>
  </si>
  <si>
    <t>自身の役割（Target Designに転記)</t>
    <rPh sb="0" eb="2">
      <t>ジシン</t>
    </rPh>
    <rPh sb="3" eb="5">
      <t>ヤクワリ</t>
    </rPh>
    <phoneticPr fontId="13"/>
  </si>
  <si>
    <t>・価値創出・提供とその基盤強化
・IoT・本体ソフトのGPF化
・BPR・開発効率化
・DX・AI活用による組織力強化・カルチャーづくり</t>
    <rPh sb="1" eb="3">
      <t>カチ</t>
    </rPh>
    <rPh sb="3" eb="5">
      <t>ソウシュツ</t>
    </rPh>
    <rPh sb="6" eb="8">
      <t>テイキョウ</t>
    </rPh>
    <rPh sb="11" eb="13">
      <t>キバン</t>
    </rPh>
    <rPh sb="13" eb="15">
      <t>キョウカ</t>
    </rPh>
    <rPh sb="21" eb="23">
      <t>ホンタイ</t>
    </rPh>
    <rPh sb="30" eb="31">
      <t>カ</t>
    </rPh>
    <rPh sb="49" eb="51">
      <t>カツヨウ</t>
    </rPh>
    <rPh sb="54" eb="59">
      <t>ソシキリョクキョウカ</t>
    </rPh>
    <phoneticPr fontId="13"/>
  </si>
  <si>
    <t>業績目標</t>
    <rPh sb="0" eb="2">
      <t>ギョウセキ</t>
    </rPh>
    <rPh sb="2" eb="4">
      <t>モクヒョウ</t>
    </rPh>
    <phoneticPr fontId="13"/>
  </si>
  <si>
    <t>期初設定</t>
    <rPh sb="0" eb="2">
      <t>キショ</t>
    </rPh>
    <rPh sb="2" eb="4">
      <t>セッテイ</t>
    </rPh>
    <phoneticPr fontId="13"/>
  </si>
  <si>
    <t>業務</t>
    <rPh sb="0" eb="2">
      <t>ギョウム</t>
    </rPh>
    <phoneticPr fontId="13"/>
  </si>
  <si>
    <t>ウェイト</t>
    <phoneticPr fontId="13"/>
  </si>
  <si>
    <t>難易度</t>
    <rPh sb="0" eb="3">
      <t>ナンイド</t>
    </rPh>
    <phoneticPr fontId="13"/>
  </si>
  <si>
    <t>難易度分け（自身が設定した難易度と、上下１ランクの記載は必須）</t>
    <rPh sb="0" eb="3">
      <t>ナンイド</t>
    </rPh>
    <rPh sb="3" eb="4">
      <t>ワ</t>
    </rPh>
    <rPh sb="6" eb="8">
      <t>ジシン</t>
    </rPh>
    <rPh sb="9" eb="11">
      <t>セッテイ</t>
    </rPh>
    <rPh sb="13" eb="16">
      <t>ナンイド</t>
    </rPh>
    <rPh sb="18" eb="20">
      <t>ジョウゲ</t>
    </rPh>
    <rPh sb="25" eb="27">
      <t>キサイ</t>
    </rPh>
    <rPh sb="28" eb="30">
      <t>ヒッス</t>
    </rPh>
    <phoneticPr fontId="13"/>
  </si>
  <si>
    <t>難易度根拠</t>
    <rPh sb="0" eb="3">
      <t>ナンイド</t>
    </rPh>
    <rPh sb="3" eb="5">
      <t>コンキョ</t>
    </rPh>
    <phoneticPr fontId="13"/>
  </si>
  <si>
    <t>達成度</t>
    <rPh sb="0" eb="3">
      <t>タッセイド</t>
    </rPh>
    <phoneticPr fontId="13"/>
  </si>
  <si>
    <t>達成度に対する成果数値（KPI）</t>
    <rPh sb="0" eb="2">
      <t>タッセイ</t>
    </rPh>
    <rPh sb="2" eb="3">
      <t>ド</t>
    </rPh>
    <rPh sb="4" eb="5">
      <t>タイ</t>
    </rPh>
    <rPh sb="7" eb="9">
      <t>セイカ</t>
    </rPh>
    <rPh sb="9" eb="11">
      <t>スウチ</t>
    </rPh>
    <phoneticPr fontId="13"/>
  </si>
  <si>
    <t>達成度</t>
    <rPh sb="0" eb="2">
      <t>タッセイ</t>
    </rPh>
    <rPh sb="2" eb="3">
      <t>ド</t>
    </rPh>
    <phoneticPr fontId="13"/>
  </si>
  <si>
    <t>達成度の根拠</t>
    <rPh sb="0" eb="2">
      <t>タッセイ</t>
    </rPh>
    <rPh sb="2" eb="3">
      <t>ド</t>
    </rPh>
    <rPh sb="4" eb="6">
      <t>コンキョ</t>
    </rPh>
    <phoneticPr fontId="13"/>
  </si>
  <si>
    <t>【価値提供の基盤強化】　IoT運用の可視化・構造化による再現性モデル構築と運用効率化（IoT推進課）
・多岐多項目に膨らんだIoTサービス運用の実態を可視化・構造化し、誰もが対応できる“再現性の高い運用業務モデル”を構築する　・属人化解消のためナレッジ化率50%以上を目指す(一般：40%程度)</t>
    <rPh sb="1" eb="5">
      <t>カチテイキョウ</t>
    </rPh>
    <rPh sb="6" eb="8">
      <t>キバン</t>
    </rPh>
    <rPh sb="8" eb="10">
      <t>キョウカ</t>
    </rPh>
    <rPh sb="46" eb="48">
      <t>スイシン</t>
    </rPh>
    <rPh sb="48" eb="49">
      <t>カ</t>
    </rPh>
    <rPh sb="86" eb="87">
      <t>ダレ</t>
    </rPh>
    <rPh sb="103" eb="105">
      <t>ギョウム</t>
    </rPh>
    <rPh sb="116" eb="118">
      <t>ゾクジン</t>
    </rPh>
    <rPh sb="118" eb="119">
      <t>カ</t>
    </rPh>
    <rPh sb="119" eb="121">
      <t>カイショウ</t>
    </rPh>
    <rPh sb="133" eb="135">
      <t>イジョウ</t>
    </rPh>
    <phoneticPr fontId="13"/>
  </si>
  <si>
    <t>チャレンジングな目標</t>
    <rPh sb="8" eb="10">
      <t>モクヒョウ</t>
    </rPh>
    <phoneticPr fontId="13"/>
  </si>
  <si>
    <t>極めてチャレンジングな目標</t>
    <rPh sb="0" eb="1">
      <t>キワ</t>
    </rPh>
    <rPh sb="11" eb="13">
      <t>モクヒョウ</t>
    </rPh>
    <phoneticPr fontId="13"/>
  </si>
  <si>
    <t>(１ランク上の等級に期待するレベル)</t>
    <rPh sb="5" eb="6">
      <t>ウエ</t>
    </rPh>
    <rPh sb="7" eb="9">
      <t>トウキュウ</t>
    </rPh>
    <phoneticPr fontId="13"/>
  </si>
  <si>
    <t>運用業務を変革し、これまでの場当たり的・属人化した運用から脱却させる。具体的には、運用業務の体系的可視化、運用カレンダー、テンプレートによる構造的ナレッジ化の仕組み等の新たな導入により、誰でも迷わず対応できる再現性の高い業務モデルの構築を主導する。</t>
    <rPh sb="70" eb="73">
      <t>コウゾウテキ</t>
    </rPh>
    <rPh sb="82" eb="83">
      <t>トウ</t>
    </rPh>
    <rPh sb="84" eb="85">
      <t>アラ</t>
    </rPh>
    <rPh sb="87" eb="89">
      <t>ドウニュウ</t>
    </rPh>
    <rPh sb="116" eb="118">
      <t>コウチク</t>
    </rPh>
    <phoneticPr fontId="13"/>
  </si>
  <si>
    <t>上回った</t>
    <rPh sb="0" eb="2">
      <t>ウワマワ</t>
    </rPh>
    <phoneticPr fontId="13"/>
  </si>
  <si>
    <t>(リスト選択）</t>
    <rPh sb="4" eb="6">
      <t>センタク</t>
    </rPh>
    <phoneticPr fontId="13"/>
  </si>
  <si>
    <t>達成した</t>
    <rPh sb="0" eb="2">
      <t>タッセイ</t>
    </rPh>
    <phoneticPr fontId="13"/>
  </si>
  <si>
    <t>(あなたの等級役割に期待するレベル）</t>
    <phoneticPr fontId="13"/>
  </si>
  <si>
    <t>現状レベルの目標</t>
    <rPh sb="0" eb="2">
      <t>ゲンジョウ</t>
    </rPh>
    <rPh sb="6" eb="8">
      <t>モクヒョウ</t>
    </rPh>
    <phoneticPr fontId="13"/>
  </si>
  <si>
    <t>(あなたの等級役割に期待するレベル）</t>
    <rPh sb="5" eb="7">
      <t>トウキュウ</t>
    </rPh>
    <rPh sb="7" eb="9">
      <t>ヤクワリ</t>
    </rPh>
    <rPh sb="10" eb="12">
      <t>キタイ</t>
    </rPh>
    <phoneticPr fontId="13"/>
  </si>
  <si>
    <t>下回った</t>
    <rPh sb="0" eb="2">
      <t>シタマワ</t>
    </rPh>
    <phoneticPr fontId="13"/>
  </si>
  <si>
    <t>【BPR・開発費削減】　3X台湾輸出IoT開発におけるBPR・開発費削減・プロジェクト完遂（IoT推進課）
・軽量開発に適した最適プロセスを品証・開発委託先と合意形成し、開発ステップ数を5→3へ合理化
・既存資産の流用と工程合理化により、IoT開発費(400万円→ゼロ化)、開発工数40%減</t>
    <rPh sb="5" eb="10">
      <t>カイハツヒサクゲン</t>
    </rPh>
    <rPh sb="14" eb="16">
      <t>タイワン</t>
    </rPh>
    <rPh sb="16" eb="18">
      <t>ユシュツ</t>
    </rPh>
    <rPh sb="21" eb="23">
      <t>カイハツ</t>
    </rPh>
    <rPh sb="31" eb="34">
      <t>カイハツヒ</t>
    </rPh>
    <rPh sb="34" eb="36">
      <t>サクゲン</t>
    </rPh>
    <rPh sb="43" eb="45">
      <t>カンスイ</t>
    </rPh>
    <rPh sb="102" eb="104">
      <t>キゾン</t>
    </rPh>
    <phoneticPr fontId="13"/>
  </si>
  <si>
    <t>既存プロセスでは、軽量開発であっても全ステップ実施する内容であるため、品質リスク踏まえた合理化案を自ら作成し、品証・開発委託先と交渉。開発ステップ数合理化の正式合意を獲得するとともに、開発費削減にも貢献する。</t>
    <rPh sb="9" eb="11">
      <t>ケイリョウ</t>
    </rPh>
    <rPh sb="11" eb="13">
      <t>カイハツ</t>
    </rPh>
    <rPh sb="18" eb="19">
      <t>ゼン</t>
    </rPh>
    <rPh sb="23" eb="25">
      <t>ジッシ</t>
    </rPh>
    <rPh sb="27" eb="29">
      <t>ナイヨウ</t>
    </rPh>
    <rPh sb="35" eb="37">
      <t>ヒンシツ</t>
    </rPh>
    <rPh sb="40" eb="41">
      <t>フ</t>
    </rPh>
    <rPh sb="44" eb="47">
      <t>ゴウリカ</t>
    </rPh>
    <rPh sb="47" eb="48">
      <t>アン</t>
    </rPh>
    <rPh sb="49" eb="50">
      <t>ミズカ</t>
    </rPh>
    <rPh sb="51" eb="53">
      <t>サクセイ</t>
    </rPh>
    <rPh sb="55" eb="57">
      <t>ヒンショウ</t>
    </rPh>
    <rPh sb="58" eb="60">
      <t>カイハツ</t>
    </rPh>
    <rPh sb="60" eb="62">
      <t>イタク</t>
    </rPh>
    <rPh sb="62" eb="63">
      <t>サキ</t>
    </rPh>
    <rPh sb="64" eb="66">
      <t>コウショウ</t>
    </rPh>
    <rPh sb="67" eb="69">
      <t>カイハツ</t>
    </rPh>
    <rPh sb="73" eb="74">
      <t>スウ</t>
    </rPh>
    <rPh sb="74" eb="77">
      <t>ゴウリカ</t>
    </rPh>
    <rPh sb="78" eb="80">
      <t>セイシキ</t>
    </rPh>
    <rPh sb="80" eb="82">
      <t>ゴウイ</t>
    </rPh>
    <rPh sb="83" eb="85">
      <t>カクトク</t>
    </rPh>
    <rPh sb="99" eb="101">
      <t>コウケン</t>
    </rPh>
    <phoneticPr fontId="13"/>
  </si>
  <si>
    <t>【本体ソフトGPF化・運用費削減】　AIクーリングのエッジ化開発（ソフト開発課）
・日中連携体制によるAIクーリングエッジ化開発完遂、GPF化
・事業部初の本体ソフトでの機械学習であり、新たな技術の蓄積を図る
・サーバ運用費削減(本体ソフト要件充足) および 新価値創出(ネット未接続・非IoT機種にもAIクーリング適用Ready)</t>
    <phoneticPr fontId="13"/>
  </si>
  <si>
    <t>事業部初となる、冷蔵庫本体ソフトでの機械学習の要素開発/量産開発技術を確立させる。日中連携で、設計指標や評価指標を試行錯誤・決定しながらの開発となる。ソースコードは、抽象化設計によりグローバル共通資産化する。課の枠を越えたチャレンジ。</t>
    <rPh sb="0" eb="4">
      <t>ジギョウブハツ</t>
    </rPh>
    <rPh sb="8" eb="13">
      <t>レイゾウコホンタイ</t>
    </rPh>
    <rPh sb="23" eb="25">
      <t>ヨウソ</t>
    </rPh>
    <rPh sb="25" eb="27">
      <t>カイハツ</t>
    </rPh>
    <rPh sb="28" eb="30">
      <t>リョウサン</t>
    </rPh>
    <rPh sb="41" eb="45">
      <t>ニッチュウレンケイ</t>
    </rPh>
    <rPh sb="47" eb="51">
      <t>セッケイシヒョウ</t>
    </rPh>
    <rPh sb="52" eb="56">
      <t>ヒョウカシヒョウ</t>
    </rPh>
    <rPh sb="57" eb="61">
      <t>シコウサクゴ</t>
    </rPh>
    <rPh sb="62" eb="64">
      <t>ケッテイ</t>
    </rPh>
    <rPh sb="69" eb="71">
      <t>カイハツ</t>
    </rPh>
    <rPh sb="83" eb="86">
      <t>チュウショウカ</t>
    </rPh>
    <rPh sb="86" eb="88">
      <t>セッケイ</t>
    </rPh>
    <rPh sb="96" eb="100">
      <t>キョウツウシサン</t>
    </rPh>
    <rPh sb="100" eb="101">
      <t>カ</t>
    </rPh>
    <rPh sb="104" eb="105">
      <t>カ</t>
    </rPh>
    <rPh sb="106" eb="107">
      <t>ワク</t>
    </rPh>
    <rPh sb="108" eb="109">
      <t>コ</t>
    </rPh>
    <phoneticPr fontId="13"/>
  </si>
  <si>
    <t>【BPR・組織カルチャーづくり】　テスト観点での冷蔵庫開発の見える化・お困りごと解決（戦略企画課）
・テストMAPの作成・見える化(機構・冷却・制御、いつ・どんなテストを？)で冷蔵庫全体知向上
・テストでのお困りごとを抽出・解決(準備・実施・データ整理・自動化)し、開発効率/品質向上を促進</t>
    <rPh sb="5" eb="7">
      <t>ソシキ</t>
    </rPh>
    <rPh sb="20" eb="22">
      <t>カンテン</t>
    </rPh>
    <rPh sb="24" eb="27">
      <t>レイゾウコ</t>
    </rPh>
    <rPh sb="27" eb="29">
      <t>カイハツ</t>
    </rPh>
    <rPh sb="30" eb="31">
      <t>ミ</t>
    </rPh>
    <rPh sb="33" eb="34">
      <t>カ</t>
    </rPh>
    <rPh sb="36" eb="37">
      <t>コマ</t>
    </rPh>
    <rPh sb="40" eb="42">
      <t>カイケツ</t>
    </rPh>
    <rPh sb="43" eb="45">
      <t>センリャク</t>
    </rPh>
    <rPh sb="45" eb="47">
      <t>キカク</t>
    </rPh>
    <rPh sb="47" eb="48">
      <t>カ</t>
    </rPh>
    <rPh sb="58" eb="60">
      <t>サクセイ</t>
    </rPh>
    <rPh sb="66" eb="68">
      <t>キコウ</t>
    </rPh>
    <rPh sb="69" eb="71">
      <t>レイキャク</t>
    </rPh>
    <rPh sb="72" eb="74">
      <t>セイギョ</t>
    </rPh>
    <rPh sb="88" eb="91">
      <t>レイゾウコ</t>
    </rPh>
    <rPh sb="91" eb="93">
      <t>ゼンタイ</t>
    </rPh>
    <rPh sb="93" eb="94">
      <t>チ</t>
    </rPh>
    <rPh sb="94" eb="96">
      <t>コウジョウ</t>
    </rPh>
    <rPh sb="104" eb="105">
      <t>コマ</t>
    </rPh>
    <rPh sb="109" eb="111">
      <t>チュウシュツ</t>
    </rPh>
    <rPh sb="112" eb="114">
      <t>カイケツ</t>
    </rPh>
    <rPh sb="115" eb="117">
      <t>ジュンビ</t>
    </rPh>
    <rPh sb="118" eb="120">
      <t>ジッシ</t>
    </rPh>
    <rPh sb="124" eb="126">
      <t>セイリ</t>
    </rPh>
    <rPh sb="127" eb="130">
      <t>ジドウカ</t>
    </rPh>
    <rPh sb="133" eb="137">
      <t>カイハツコウリツ</t>
    </rPh>
    <rPh sb="138" eb="140">
      <t>ヒンシツ</t>
    </rPh>
    <rPh sb="143" eb="145">
      <t>ソクシン</t>
    </rPh>
    <phoneticPr fontId="13"/>
  </si>
  <si>
    <t>本テーマを自ら発案し主導する。冷蔵庫技術全体に対する取り組みであり、高い推進力・構想力・DXスキルなどが求められる。
課の枠を越えたチャレンジ。</t>
    <rPh sb="0" eb="1">
      <t>ホン</t>
    </rPh>
    <rPh sb="5" eb="6">
      <t>ミズカ</t>
    </rPh>
    <rPh sb="7" eb="9">
      <t>ハツアン</t>
    </rPh>
    <rPh sb="10" eb="12">
      <t>シュドウ</t>
    </rPh>
    <rPh sb="15" eb="22">
      <t>レイゾウコギジュツゼンタイ</t>
    </rPh>
    <rPh sb="23" eb="24">
      <t>タイ</t>
    </rPh>
    <rPh sb="26" eb="27">
      <t>ト</t>
    </rPh>
    <rPh sb="28" eb="29">
      <t>ク</t>
    </rPh>
    <rPh sb="34" eb="35">
      <t>タカ</t>
    </rPh>
    <rPh sb="36" eb="39">
      <t>スイシンリョク</t>
    </rPh>
    <rPh sb="52" eb="53">
      <t>モト</t>
    </rPh>
    <rPh sb="59" eb="60">
      <t>カ</t>
    </rPh>
    <rPh sb="61" eb="62">
      <t>ワク</t>
    </rPh>
    <rPh sb="63" eb="64">
      <t>コ</t>
    </rPh>
    <phoneticPr fontId="13"/>
  </si>
  <si>
    <t>【BPR・組織カルチャーづくり】　DX・AI活用推進サポート（戦略企画課）
・技術内のお困りごとに対し、戦略企画課として横断的に対応し、課題解決をリードする。
・作成したDX・AIツールの活用・展開を支援し、技術全体のDX・AI活用レベルを底上げする。</t>
    <phoneticPr fontId="13"/>
  </si>
  <si>
    <t>冷蔵庫技術全体から寄せられる多様で予測不能なお困りごとに対応するため、幅広いDX・AI知識と高い推進力が求められる。
課の枠を越えたチャレンジ。</t>
    <rPh sb="0" eb="3">
      <t>レイゾウコ</t>
    </rPh>
    <rPh sb="3" eb="5">
      <t>ギジュツ</t>
    </rPh>
    <rPh sb="5" eb="7">
      <t>ゼンタイ</t>
    </rPh>
    <rPh sb="9" eb="10">
      <t>ヨ</t>
    </rPh>
    <rPh sb="14" eb="16">
      <t>タヨウ</t>
    </rPh>
    <rPh sb="17" eb="19">
      <t>ヨソク</t>
    </rPh>
    <rPh sb="19" eb="21">
      <t>フノウ</t>
    </rPh>
    <rPh sb="23" eb="24">
      <t>コマ</t>
    </rPh>
    <rPh sb="28" eb="30">
      <t>タイオウ</t>
    </rPh>
    <rPh sb="35" eb="37">
      <t>ハバヒロ</t>
    </rPh>
    <rPh sb="43" eb="45">
      <t>チシキ</t>
    </rPh>
    <rPh sb="46" eb="47">
      <t>タカ</t>
    </rPh>
    <rPh sb="48" eb="51">
      <t>スイシンリョク</t>
    </rPh>
    <rPh sb="52" eb="53">
      <t>モト</t>
    </rPh>
    <rPh sb="59" eb="60">
      <t>カ</t>
    </rPh>
    <rPh sb="61" eb="62">
      <t>ワク</t>
    </rPh>
    <rPh sb="63" eb="64">
      <t>コ</t>
    </rPh>
    <phoneticPr fontId="13"/>
  </si>
  <si>
    <t>合計</t>
    <rPh sb="0" eb="2">
      <t>ゴウケイ</t>
    </rPh>
    <phoneticPr fontId="13"/>
  </si>
  <si>
    <t>お客様起点で考える</t>
    <rPh sb="1" eb="5">
      <t>キャクサマキテン</t>
    </rPh>
    <rPh sb="6" eb="7">
      <t>カンガ</t>
    </rPh>
    <phoneticPr fontId="13"/>
  </si>
  <si>
    <t>期中、最終、途中変更は、都度シートをコピーして更新。※期初設定、変化点での履歴を残すこと。</t>
    <rPh sb="0" eb="2">
      <t>キチュウ</t>
    </rPh>
    <rPh sb="3" eb="5">
      <t>サイシュウ</t>
    </rPh>
    <rPh sb="6" eb="8">
      <t>トチュウ</t>
    </rPh>
    <rPh sb="8" eb="10">
      <t>ヘンコウ</t>
    </rPh>
    <rPh sb="12" eb="14">
      <t>ツド</t>
    </rPh>
    <rPh sb="23" eb="25">
      <t>コウシン</t>
    </rPh>
    <rPh sb="27" eb="29">
      <t>キショ</t>
    </rPh>
    <rPh sb="29" eb="31">
      <t>セッテイ</t>
    </rPh>
    <rPh sb="32" eb="34">
      <t>ヘンカ</t>
    </rPh>
    <rPh sb="34" eb="35">
      <t>テン</t>
    </rPh>
    <rPh sb="37" eb="39">
      <t>リレキ</t>
    </rPh>
    <rPh sb="40" eb="41">
      <t>ノコ</t>
    </rPh>
    <phoneticPr fontId="13"/>
  </si>
  <si>
    <t>私は、今年度掲げたIoT運用の再現性モデル構築、開発費削減、AIクーリングの新価値創出、</t>
  </si>
  <si>
    <t>テスト観点の見える化、DX・AI活用推進といった全ての取り組みを、</t>
  </si>
  <si>
    <t>SMARTな目標設定をするために、部下とのコミュニケーションを通じて目標の解像度を高めていくこと</t>
  </si>
  <si>
    <t>“お客様の立場に立つ”という原点から進めていくことを決意します。</t>
  </si>
  <si>
    <t>また、当該内容がシステムに入力され、本人-上司間で確認できる状態であること</t>
  </si>
  <si>
    <t>⚫ Specific (具体的) 目標は具体的であり、何を達成するかが明確に定義されている</t>
  </si>
  <si>
    <t>お客様が今何に困り、何に安心し、どんな価値を求めているのかを常に問い直しながら、</t>
  </si>
  <si>
    <t>⚫ Measurable (測定可能) 目標は数値や具体的な基準で測定可能であり、進捗や達成度を評価することができる</t>
  </si>
  <si>
    <t>既存のやり方にとらわれず、より良い方法・仕組み・技術を仲間とともに創り出していきます。</t>
  </si>
  <si>
    <t>⚫ Achievable (達成可能) 目標は現実的であり、達成可能な範囲内に設定されている</t>
  </si>
  <si>
    <t>⚫ Relevant（関連性）： 目標は組織のミッションや個人の役割に関連した重要な目標である</t>
  </si>
  <si>
    <t>IoT運用の可視化やBPR、AIクーリングのエッジ化、テストのお困りごと解決、DX活用支援など、</t>
  </si>
  <si>
    <t>⚫ Time-bound (期限がある) 目標には明確な期限が設定されており、達成までの時間軸が定義されている</t>
  </si>
  <si>
    <t>私の業務はすべて“お客様の喜びと安心を高めるための手段”であることを忘れず、</t>
  </si>
  <si>
    <t>自部門の事情に偏らず、技術全体の価値向上に貢献していきます。</t>
  </si>
  <si>
    <t>可視化・構造化</t>
    <rPh sb="0" eb="3">
      <t>カシカ</t>
    </rPh>
    <rPh sb="4" eb="7">
      <t>コウゾウカ</t>
    </rPh>
    <phoneticPr fontId="2"/>
  </si>
  <si>
    <t>カレンダー作成</t>
    <rPh sb="5" eb="7">
      <t>サクセイ</t>
    </rPh>
    <phoneticPr fontId="2"/>
  </si>
  <si>
    <t>カテゴリ分け</t>
    <rPh sb="4" eb="5">
      <t>ワ</t>
    </rPh>
    <phoneticPr fontId="2"/>
  </si>
  <si>
    <t>テンプレート化</t>
    <rPh sb="6" eb="7">
      <t>カ</t>
    </rPh>
    <phoneticPr fontId="2"/>
  </si>
  <si>
    <t>あと2ヶ月で何するか</t>
    <rPh sb="4" eb="5">
      <t>ゲツ</t>
    </rPh>
    <rPh sb="6" eb="7">
      <t>ナニ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</si>
</sst>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7">
    <font>
      <sz val="11"/>
      <color theme="1"/>
      <name val="游ゴシック"/>
      <family val="2"/>
      <charset val="128"/>
      <scheme val="minor"/>
    </font>
    <font>
      <sz val="11"/>
      <color theme="1"/>
      <name val="Meiryo UI"/>
      <family val="3"/>
      <charset val="128"/>
    </font>
    <font>
      <sz val="6"/>
      <name val="游ゴシック"/>
      <family val="2"/>
      <charset val="128"/>
      <scheme val="minor"/>
    </font>
    <font>
      <u/>
      <sz val="11"/>
      <color theme="10"/>
      <name val="游ゴシック"/>
      <family val="2"/>
      <charset val="128"/>
      <scheme val="minor"/>
    </font>
    <font>
      <u/>
      <sz val="11"/>
      <color theme="10"/>
      <name val="游ゴシック"/>
      <family val="3"/>
      <charset val="128"/>
      <scheme val="minor"/>
    </font>
    <font>
      <sz val="11"/>
      <color theme="1"/>
      <name val="Meiryo UI"/>
      <family val="2"/>
      <charset val="128"/>
    </font>
    <font>
      <b/>
      <sz val="11"/>
      <color theme="1"/>
      <name val="Meiryo UI"/>
      <family val="3"/>
      <charset val="128"/>
    </font>
    <font>
      <b/>
      <sz val="24"/>
      <color theme="1"/>
      <name val="Meiryo UI"/>
      <family val="3"/>
      <charset val="128"/>
    </font>
    <font>
      <b/>
      <sz val="18"/>
      <color theme="1"/>
      <name val="Meiryo UI"/>
      <family val="3"/>
      <charset val="128"/>
    </font>
    <font>
      <sz val="10"/>
      <color theme="1"/>
      <name val="Arial Unicode MS"/>
      <family val="2"/>
    </font>
    <font>
      <sz val="10"/>
      <color theme="1"/>
      <name val="Arial Unicode MS"/>
      <family val="3"/>
      <charset val="128"/>
    </font>
    <font>
      <sz val="10"/>
      <color theme="1"/>
      <name val="ＭＳ ゴシック"/>
      <family val="3"/>
      <charset val="128"/>
    </font>
    <font>
      <sz val="10"/>
      <color theme="1"/>
      <name val="Arial"/>
      <family val="2"/>
    </font>
    <font>
      <sz val="6"/>
      <name val="Meiryo UI"/>
      <family val="2"/>
      <charset val="128"/>
    </font>
    <font>
      <sz val="10"/>
      <color theme="1"/>
      <name val="Arial Unicode MS"/>
      <family val="2"/>
      <charset val="128"/>
    </font>
    <font>
      <b/>
      <sz val="13.5"/>
      <color theme="1"/>
      <name val="Meiryo UI"/>
      <family val="3"/>
      <charset val="128"/>
    </font>
    <font>
      <sz val="12"/>
      <color rgb="FF000000"/>
      <name val="BIZ UDPゴシック"/>
      <family val="3"/>
      <charset val="128"/>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5" fillId="0" borderId="0">
      <alignment vertical="center"/>
    </xf>
  </cellStyleXfs>
  <cellXfs count="61">
    <xf numFmtId="0" fontId="0" fillId="0" borderId="0" xfId="0">
      <alignment vertical="center"/>
    </xf>
    <xf numFmtId="0" fontId="1" fillId="0" borderId="0" xfId="0" applyFont="1">
      <alignment vertical="center"/>
    </xf>
    <xf numFmtId="0" fontId="3" fillId="0" borderId="0" xfId="1">
      <alignment vertical="center"/>
    </xf>
    <xf numFmtId="0" fontId="5" fillId="0" borderId="0" xfId="2">
      <alignment vertical="center"/>
    </xf>
    <xf numFmtId="0" fontId="6" fillId="0" borderId="0" xfId="2" applyFont="1">
      <alignment vertical="center"/>
    </xf>
    <xf numFmtId="0" fontId="7" fillId="0" borderId="0" xfId="2" applyFont="1">
      <alignment vertical="center"/>
    </xf>
    <xf numFmtId="0" fontId="8" fillId="0" borderId="0" xfId="2" applyFont="1">
      <alignment vertical="center"/>
    </xf>
    <xf numFmtId="0" fontId="5" fillId="0" borderId="0" xfId="2" applyAlignment="1">
      <alignment horizontal="left" vertical="center" indent="1"/>
    </xf>
    <xf numFmtId="0" fontId="6" fillId="0" borderId="0" xfId="2" applyFont="1" applyAlignment="1">
      <alignment horizontal="left" vertical="center" indent="1"/>
    </xf>
    <xf numFmtId="0" fontId="9" fillId="0" borderId="0" xfId="2" applyFont="1">
      <alignment vertical="center"/>
    </xf>
    <xf numFmtId="0" fontId="10" fillId="0" borderId="0" xfId="2" applyFont="1">
      <alignment vertical="center"/>
    </xf>
    <xf numFmtId="0" fontId="15" fillId="0" borderId="0" xfId="2" applyFont="1">
      <alignment vertical="center"/>
    </xf>
    <xf numFmtId="0" fontId="6" fillId="0" borderId="0" xfId="2" applyFont="1" applyAlignment="1">
      <alignment horizontal="left" vertical="center"/>
    </xf>
    <xf numFmtId="0" fontId="5" fillId="0" borderId="1" xfId="2" applyBorder="1" applyAlignment="1">
      <alignment horizontal="center" vertical="center"/>
    </xf>
    <xf numFmtId="0" fontId="5" fillId="0" borderId="1" xfId="2" applyBorder="1" applyAlignment="1">
      <alignment horizontal="left" vertical="top" wrapText="1"/>
    </xf>
    <xf numFmtId="0" fontId="5" fillId="2" borderId="2" xfId="2" applyFill="1" applyBorder="1" applyAlignment="1">
      <alignment horizontal="left" vertical="center"/>
    </xf>
    <xf numFmtId="0" fontId="5" fillId="2" borderId="3" xfId="2" applyFill="1" applyBorder="1" applyAlignment="1">
      <alignment horizontal="left" vertical="center"/>
    </xf>
    <xf numFmtId="0" fontId="5" fillId="2" borderId="4" xfId="2" applyFill="1" applyBorder="1" applyAlignment="1">
      <alignment horizontal="left" vertical="center"/>
    </xf>
    <xf numFmtId="0" fontId="5" fillId="3" borderId="3" xfId="2" applyFill="1" applyBorder="1" applyAlignment="1">
      <alignment horizontal="center" vertical="center"/>
    </xf>
    <xf numFmtId="0" fontId="5" fillId="3" borderId="4" xfId="2" applyFill="1" applyBorder="1" applyAlignment="1">
      <alignment horizontal="center" vertical="center"/>
    </xf>
    <xf numFmtId="0" fontId="5" fillId="0" borderId="5" xfId="2" applyBorder="1">
      <alignment vertical="center"/>
    </xf>
    <xf numFmtId="0" fontId="5" fillId="4" borderId="6" xfId="2" applyFill="1" applyBorder="1">
      <alignment vertical="center"/>
    </xf>
    <xf numFmtId="0" fontId="5" fillId="4" borderId="7" xfId="2" applyFill="1" applyBorder="1">
      <alignment vertical="center"/>
    </xf>
    <xf numFmtId="0" fontId="5" fillId="0" borderId="8" xfId="2" applyBorder="1">
      <alignment vertical="center"/>
    </xf>
    <xf numFmtId="0" fontId="5" fillId="0" borderId="9" xfId="2" applyBorder="1">
      <alignment vertical="center"/>
    </xf>
    <xf numFmtId="0" fontId="5" fillId="0" borderId="7" xfId="2" applyBorder="1">
      <alignment vertical="center"/>
    </xf>
    <xf numFmtId="0" fontId="5" fillId="0" borderId="10" xfId="2" applyBorder="1">
      <alignment vertical="center"/>
    </xf>
    <xf numFmtId="0" fontId="5" fillId="0" borderId="11" xfId="2" applyBorder="1">
      <alignment vertical="center"/>
    </xf>
    <xf numFmtId="0" fontId="5" fillId="0" borderId="12" xfId="2" applyBorder="1" applyAlignment="1">
      <alignment horizontal="left" vertical="top" wrapText="1"/>
    </xf>
    <xf numFmtId="9" fontId="5" fillId="4" borderId="13" xfId="2" applyNumberFormat="1" applyFill="1" applyBorder="1" applyAlignment="1">
      <alignment vertical="center" wrapText="1"/>
    </xf>
    <xf numFmtId="176" fontId="5" fillId="4" borderId="14" xfId="2" applyNumberFormat="1" applyFill="1" applyBorder="1" applyAlignment="1">
      <alignment vertical="center" wrapText="1"/>
    </xf>
    <xf numFmtId="176" fontId="5" fillId="0" borderId="15" xfId="2" applyNumberFormat="1" applyBorder="1" applyAlignment="1">
      <alignment horizontal="right" vertical="center"/>
    </xf>
    <xf numFmtId="0" fontId="5" fillId="0" borderId="16" xfId="2" quotePrefix="1" applyBorder="1" applyAlignment="1">
      <alignment vertical="center" wrapText="1"/>
    </xf>
    <xf numFmtId="0" fontId="5" fillId="0" borderId="14" xfId="2" applyBorder="1" applyAlignment="1">
      <alignment horizontal="left" vertical="top" wrapText="1"/>
    </xf>
    <xf numFmtId="0" fontId="5" fillId="0" borderId="15" xfId="2" applyBorder="1" applyAlignment="1">
      <alignment horizontal="right" vertical="center"/>
    </xf>
    <xf numFmtId="0" fontId="5" fillId="0" borderId="17" xfId="2" applyBorder="1" applyAlignment="1">
      <alignment horizontal="center" vertical="center"/>
    </xf>
    <xf numFmtId="0" fontId="5" fillId="0" borderId="18" xfId="2" applyBorder="1" applyAlignment="1">
      <alignment horizontal="center" vertical="center"/>
    </xf>
    <xf numFmtId="9" fontId="5" fillId="4" borderId="19" xfId="2" applyNumberFormat="1" applyFill="1" applyBorder="1" applyAlignment="1">
      <alignment vertical="center" wrapText="1"/>
    </xf>
    <xf numFmtId="176" fontId="5" fillId="4" borderId="20" xfId="2" applyNumberFormat="1" applyFill="1" applyBorder="1" applyAlignment="1">
      <alignment vertical="center" wrapText="1"/>
    </xf>
    <xf numFmtId="176" fontId="5" fillId="4" borderId="21" xfId="2" applyNumberFormat="1" applyFill="1" applyBorder="1" applyAlignment="1">
      <alignment horizontal="right" vertical="center"/>
    </xf>
    <xf numFmtId="0" fontId="5" fillId="0" borderId="22" xfId="2" applyBorder="1" applyAlignment="1">
      <alignment vertical="center" wrapText="1"/>
    </xf>
    <xf numFmtId="0" fontId="5" fillId="0" borderId="20" xfId="2" applyBorder="1" applyAlignment="1">
      <alignment horizontal="left" vertical="top" wrapText="1"/>
    </xf>
    <xf numFmtId="0" fontId="5" fillId="0" borderId="21" xfId="2" applyBorder="1" applyAlignment="1">
      <alignment horizontal="right" vertical="center"/>
    </xf>
    <xf numFmtId="0" fontId="5" fillId="0" borderId="22" xfId="2" quotePrefix="1" applyBorder="1" applyAlignment="1">
      <alignment vertical="center" wrapText="1"/>
    </xf>
    <xf numFmtId="176" fontId="5" fillId="0" borderId="23" xfId="2" applyNumberFormat="1" applyBorder="1" applyAlignment="1">
      <alignment horizontal="right" vertical="center"/>
    </xf>
    <xf numFmtId="0" fontId="5" fillId="0" borderId="23" xfId="2" applyBorder="1" applyAlignment="1">
      <alignment horizontal="right" vertical="center"/>
    </xf>
    <xf numFmtId="176" fontId="5" fillId="4" borderId="15" xfId="2" applyNumberFormat="1" applyFill="1" applyBorder="1" applyAlignment="1">
      <alignment horizontal="right" vertical="center"/>
    </xf>
    <xf numFmtId="176" fontId="5" fillId="0" borderId="21" xfId="2" applyNumberFormat="1" applyBorder="1" applyAlignment="1">
      <alignment horizontal="right" vertical="center"/>
    </xf>
    <xf numFmtId="0" fontId="5" fillId="0" borderId="24" xfId="2" applyBorder="1" applyAlignment="1">
      <alignment horizontal="left" vertical="top" wrapText="1"/>
    </xf>
    <xf numFmtId="9" fontId="5" fillId="4" borderId="25" xfId="2" applyNumberFormat="1" applyFill="1" applyBorder="1" applyAlignment="1">
      <alignment vertical="center" wrapText="1"/>
    </xf>
    <xf numFmtId="176" fontId="5" fillId="4" borderId="26" xfId="2" applyNumberFormat="1" applyFill="1" applyBorder="1" applyAlignment="1">
      <alignment vertical="center" wrapText="1"/>
    </xf>
    <xf numFmtId="176" fontId="5" fillId="0" borderId="27" xfId="2" applyNumberFormat="1" applyBorder="1" applyAlignment="1">
      <alignment horizontal="right" vertical="center"/>
    </xf>
    <xf numFmtId="0" fontId="5" fillId="0" borderId="28" xfId="2" quotePrefix="1" applyBorder="1" applyAlignment="1">
      <alignment vertical="center" wrapText="1"/>
    </xf>
    <xf numFmtId="0" fontId="5" fillId="0" borderId="26" xfId="2" applyBorder="1" applyAlignment="1">
      <alignment horizontal="left" vertical="top" wrapText="1"/>
    </xf>
    <xf numFmtId="0" fontId="5" fillId="0" borderId="27" xfId="2" applyBorder="1" applyAlignment="1">
      <alignment horizontal="right" vertical="center"/>
    </xf>
    <xf numFmtId="0" fontId="5" fillId="0" borderId="29" xfId="2" applyBorder="1" applyAlignment="1">
      <alignment horizontal="center" vertical="center"/>
    </xf>
    <xf numFmtId="0" fontId="5" fillId="0" borderId="30" xfId="2" applyBorder="1" applyAlignment="1">
      <alignment horizontal="center" vertical="center"/>
    </xf>
    <xf numFmtId="0" fontId="5" fillId="0" borderId="31" xfId="2" applyBorder="1" applyAlignment="1">
      <alignment horizontal="right" vertical="center"/>
    </xf>
    <xf numFmtId="9" fontId="5" fillId="0" borderId="32" xfId="2" applyNumberFormat="1" applyBorder="1">
      <alignment vertical="center"/>
    </xf>
    <xf numFmtId="0" fontId="5" fillId="0" borderId="0" xfId="2" applyAlignment="1">
      <alignment vertical="center" wrapText="1"/>
    </xf>
    <xf numFmtId="0" fontId="16" fillId="0" borderId="0" xfId="2" applyFont="1" applyAlignment="1">
      <alignment horizontal="left" vertical="center" readingOrder="1"/>
    </xf>
  </cellXfs>
  <cellStyles count="3">
    <cellStyle name="ハイパーリンク" xfId="1" builtinId="8"/>
    <cellStyle name="標準" xfId="0" builtinId="0"/>
    <cellStyle name="標準 2" xfId="2" xr:uid="{7089037D-29FC-4ECA-BC4F-3F79C7E7DCCF}"/>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127000</xdr:colOff>
      <xdr:row>3</xdr:row>
      <xdr:rowOff>95249</xdr:rowOff>
    </xdr:from>
    <xdr:to>
      <xdr:col>36</xdr:col>
      <xdr:colOff>601581</xdr:colOff>
      <xdr:row>53</xdr:row>
      <xdr:rowOff>154993</xdr:rowOff>
    </xdr:to>
    <xdr:pic>
      <xdr:nvPicPr>
        <xdr:cNvPr id="2" name="図 1">
          <a:extLst>
            <a:ext uri="{FF2B5EF4-FFF2-40B4-BE49-F238E27FC236}">
              <a16:creationId xmlns:a16="http://schemas.microsoft.com/office/drawing/2014/main" id="{24ABBC68-F99E-FA6C-851F-B2471B77AE4F}"/>
            </a:ext>
          </a:extLst>
        </xdr:cNvPr>
        <xdr:cNvPicPr>
          <a:picLocks noChangeAspect="1"/>
        </xdr:cNvPicPr>
      </xdr:nvPicPr>
      <xdr:blipFill>
        <a:blip xmlns:r="http://schemas.openxmlformats.org/officeDocument/2006/relationships" r:embed="rId1"/>
        <a:stretch>
          <a:fillRect/>
        </a:stretch>
      </xdr:blipFill>
      <xdr:spPr>
        <a:xfrm>
          <a:off x="11165417" y="698499"/>
          <a:ext cx="10793331" cy="1100291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eams.microsoft.com/l/message/19:948632d530714949a4697b4b0a90cc09@thread.tacv2/1777340437872?tenantId=4863f5d6-4760-4589-be9c-42f82e075739&amp;groupId=588f1285-af65-4582-b91a-4eabf67560a9&amp;parentMessageId=1777340437872&amp;teamName=WiFi%E5%AE%B6%E9%9B%BB%E5%85%B1%E6%9C%89%E4%BC%9A&amp;channelName=%E6%83%85%E5%A0%B1%E5%85%B1%E6%9C%89&amp;createdTime=1777340437872" TargetMode="External"/><Relationship Id="rId3" Type="http://schemas.openxmlformats.org/officeDocument/2006/relationships/hyperlink" Target="http://localhost:56315/?path=%5c%5c10.76.205.156%5c02%e5%90%84%e8%aa%b2%e5%85%b1%e9%80%9a%5c24%e5%88%b6%e5%be%a1%e9%96%8b%e7%99%ba%5cE-IoT%5c11_%e9%81%8b%e7%94%a8%e4%bf%9d%e5%ae%88%5c04_GIoT" TargetMode="External"/><Relationship Id="rId7" Type="http://schemas.openxmlformats.org/officeDocument/2006/relationships/hyperlink" Target="https://dit-nn.backlog.com/view/KITCHEN_PF-3274" TargetMode="External"/><Relationship Id="rId2" Type="http://schemas.openxmlformats.org/officeDocument/2006/relationships/hyperlink" Target="https://teams.microsoft.com/l/message/19:b1lcWLxG_UblDxRSEJNBLoBghxQpmeOjEKDad9JRWy01@thread.tacv2/1694082997228?tenantId=4863f5d6-4760-4589-be9c-42f82e075739&amp;groupId=76a925d1-92a5-47b5-a299-f86ad7bc2209&amp;parentMessageId=1694082997228&amp;teamName=%5BKABD%2FDPDC%2FPAPVN%2FPRDCV%5D%20GIoT%20Fridge&amp;channelName=RF%20Operation&amp;createdTime=1694082997228&amp;ngc=true&amp;allowXTenantAccess=true" TargetMode="External"/><Relationship Id="rId1" Type="http://schemas.openxmlformats.org/officeDocument/2006/relationships/hyperlink" Target="https://teams.microsoft.com/l/team/19%3AxBJD6U_busXpHyEoKg42LtWtgrmz24JDNvY0rVwzXzY1%40thread.tacv2/conversations?groupId=76a925d1-92a5-47b5-a299-f86ad7bc2209&amp;tenantId=4863f5d6-4760-4589-be9c-42f82e075739" TargetMode="External"/><Relationship Id="rId6" Type="http://schemas.openxmlformats.org/officeDocument/2006/relationships/hyperlink" Target="https://teams.microsoft.com/l/message/19:4ccbe7c2b71a426e8676dfa1feee9e9e@thread.tacv2/1780308908971?tenantId=4863f5d6-4760-4589-be9c-42f82e075739&amp;groupId=edf45eed-46c0-4a1e-983b-67d34a1ed6a9&amp;parentMessageId=1779683303785&amp;teamName=IoT%E6%8E%A8%E9%80%B2%E8%AA%B2&amp;channelName=01_%E3%81%BF%E3%82%93%E3%81%AA%E3%81%AE%E3%82%BF%E3%82%B9%E3%82%AF&amp;createdTime=1780308908971" TargetMode="External"/><Relationship Id="rId11" Type="http://schemas.openxmlformats.org/officeDocument/2006/relationships/drawing" Target="../drawings/drawing1.xml"/><Relationship Id="rId5" Type="http://schemas.openxmlformats.org/officeDocument/2006/relationships/hyperlink" Target="http://localhost:56315/?path=%5c%5c10.76.205.156%5c02%e5%90%84%e8%aa%b2%e5%85%b1%e9%80%9a%5c24%e5%88%b6%e5%be%a1%e9%96%8b%e7%99%ba%5cE-IoT%5c11_%e9%81%8b%e7%94%a8%e4%bf%9d%e5%ae%88%5c04_GIoT" TargetMode="External"/><Relationship Id="rId10" Type="http://schemas.openxmlformats.org/officeDocument/2006/relationships/hyperlink" Target="http://localhost:56315/?path=%5c%5c10.76.205.156%5c02%e5%90%84%e8%aa%b2%e5%85%b1%e9%80%9a%5c24%e5%88%b6%e5%be%a1%e9%96%8b%e7%99%ba%5cE-IoT%5c41_%e3%83%aa%e3%83%aa%e3%83%bc%e3%82%b9%e8%aa%8d%e5%ae%9a%e6%9b%b8" TargetMode="External"/><Relationship Id="rId4" Type="http://schemas.openxmlformats.org/officeDocument/2006/relationships/hyperlink" Target="http://localhost:56315/?path=%5c%5c10.76.205.156%5c02%e5%90%84%e8%aa%b2%e5%85%b1%e9%80%9a%5c24%e5%88%b6%e5%be%a1%e9%96%8b%e7%99%ba%5cE-IoT%5c01_%e9%96%8b%e7%99%ba%5c04_GIoT" TargetMode="External"/><Relationship Id="rId9" Type="http://schemas.openxmlformats.org/officeDocument/2006/relationships/hyperlink" Target="https://teams.microsoft.com/l/message/19:61deeb17408548bb9a1c04db8c56d6c6@thread.tacv2/1781484665965?tenantId=4863f5d6-4760-4589-be9c-42f82e075739&amp;groupId=edf45eed-46c0-4a1e-983b-67d34a1ed6a9&amp;parentMessageId=1781484665965&amp;teamName=IoT%E6%8E%A8%E9%80%B2%E8%AA%B2&amp;channelName=10_%E9%80%A3%E7%B5%A1%E4%BA%8B%E9%A0%85&amp;createdTime=17814846659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93979-5A8D-4226-A1F6-819AACC4F3C1}">
  <dimension ref="B2:M172"/>
  <sheetViews>
    <sheetView tabSelected="1" topLeftCell="A125" zoomScale="90" zoomScaleNormal="90" workbookViewId="0">
      <selection activeCell="D148" sqref="D148"/>
    </sheetView>
  </sheetViews>
  <sheetFormatPr defaultRowHeight="15.75"/>
  <cols>
    <col min="1" max="7" width="2.625" style="1" customWidth="1"/>
    <col min="8" max="16384" width="9" style="1"/>
  </cols>
  <sheetData>
    <row r="2" spans="2:13">
      <c r="B2" s="1" t="s">
        <v>0</v>
      </c>
    </row>
    <row r="4" spans="2:13">
      <c r="C4" s="1" t="s">
        <v>1</v>
      </c>
    </row>
    <row r="5" spans="2:13">
      <c r="D5" s="1" t="s">
        <v>4</v>
      </c>
    </row>
    <row r="6" spans="2:13">
      <c r="E6" s="1" t="s">
        <v>3</v>
      </c>
    </row>
    <row r="7" spans="2:13" ht="18.75">
      <c r="F7" s="2" t="s">
        <v>2</v>
      </c>
      <c r="M7" s="1" t="s">
        <v>5</v>
      </c>
    </row>
    <row r="8" spans="2:13" ht="18.75">
      <c r="F8" s="2"/>
      <c r="G8" s="1" t="s">
        <v>7</v>
      </c>
    </row>
    <row r="9" spans="2:13" ht="18.75">
      <c r="H9" s="2" t="s">
        <v>6</v>
      </c>
    </row>
    <row r="10" spans="2:13" ht="18.75">
      <c r="H10" s="2" t="s">
        <v>8</v>
      </c>
    </row>
    <row r="12" spans="2:13">
      <c r="D12" s="1" t="s">
        <v>9</v>
      </c>
    </row>
    <row r="13" spans="2:13">
      <c r="E13" s="1" t="s">
        <v>10</v>
      </c>
    </row>
    <row r="15" spans="2:13">
      <c r="D15" s="1" t="s">
        <v>11</v>
      </c>
    </row>
    <row r="16" spans="2:13" ht="18.75">
      <c r="E16" s="2" t="s">
        <v>12</v>
      </c>
    </row>
    <row r="17" spans="2:6" ht="18.75">
      <c r="E17" s="2" t="s">
        <v>8</v>
      </c>
    </row>
    <row r="19" spans="2:6">
      <c r="B19" s="1" t="s">
        <v>13</v>
      </c>
    </row>
    <row r="21" spans="2:6">
      <c r="C21" s="1" t="s">
        <v>14</v>
      </c>
    </row>
    <row r="22" spans="2:6">
      <c r="D22" s="1" t="s">
        <v>15</v>
      </c>
    </row>
    <row r="23" spans="2:6">
      <c r="D23" s="1" t="s">
        <v>16</v>
      </c>
    </row>
    <row r="25" spans="2:6" ht="18.75">
      <c r="D25" s="1" t="s">
        <v>17</v>
      </c>
      <c r="E25" s="2"/>
    </row>
    <row r="26" spans="2:6" ht="18.75">
      <c r="E26" s="2" t="s">
        <v>18</v>
      </c>
    </row>
    <row r="27" spans="2:6" ht="18.75">
      <c r="E27" s="2"/>
    </row>
    <row r="28" spans="2:6">
      <c r="D28" s="1" t="s">
        <v>19</v>
      </c>
    </row>
    <row r="29" spans="2:6">
      <c r="E29" s="1" t="s">
        <v>20</v>
      </c>
    </row>
    <row r="30" spans="2:6">
      <c r="F30" s="1" t="s">
        <v>21</v>
      </c>
    </row>
    <row r="31" spans="2:6">
      <c r="F31" s="1" t="s">
        <v>22</v>
      </c>
    </row>
    <row r="32" spans="2:6">
      <c r="F32" s="1" t="s">
        <v>23</v>
      </c>
    </row>
    <row r="33" spans="4:8">
      <c r="G33" s="1" t="s">
        <v>24</v>
      </c>
    </row>
    <row r="34" spans="4:8">
      <c r="F34" s="1" t="s">
        <v>25</v>
      </c>
    </row>
    <row r="35" spans="4:8">
      <c r="F35" s="1" t="s">
        <v>26</v>
      </c>
    </row>
    <row r="36" spans="4:8">
      <c r="F36" s="1" t="s">
        <v>27</v>
      </c>
    </row>
    <row r="37" spans="4:8">
      <c r="F37" s="1" t="s">
        <v>28</v>
      </c>
    </row>
    <row r="38" spans="4:8">
      <c r="F38" s="1" t="s">
        <v>29</v>
      </c>
    </row>
    <row r="40" spans="4:8" ht="18.75">
      <c r="D40" s="1" t="s">
        <v>30</v>
      </c>
      <c r="E40" s="2"/>
    </row>
    <row r="41" spans="4:8">
      <c r="E41" s="1" t="s">
        <v>31</v>
      </c>
    </row>
    <row r="42" spans="4:8">
      <c r="F42" s="1" t="s">
        <v>32</v>
      </c>
    </row>
    <row r="43" spans="4:8" ht="18.75">
      <c r="E43" s="2"/>
      <c r="G43" s="2" t="s">
        <v>33</v>
      </c>
    </row>
    <row r="44" spans="4:8" ht="18.75">
      <c r="E44" s="2"/>
      <c r="G44" s="1" t="s">
        <v>34</v>
      </c>
    </row>
    <row r="45" spans="4:8" ht="18.75">
      <c r="E45" s="2"/>
      <c r="G45" s="2"/>
    </row>
    <row r="46" spans="4:8" ht="18.75">
      <c r="E46" s="2"/>
      <c r="G46" s="2"/>
      <c r="H46" s="2" t="s">
        <v>35</v>
      </c>
    </row>
    <row r="47" spans="4:8" ht="18.75">
      <c r="E47" s="2"/>
      <c r="G47" s="2"/>
      <c r="H47" s="2"/>
    </row>
    <row r="48" spans="4:8" ht="18.75">
      <c r="E48" s="2"/>
      <c r="F48" s="1" t="s">
        <v>36</v>
      </c>
      <c r="G48" s="2"/>
      <c r="H48" s="2"/>
    </row>
    <row r="49" spans="4:8" ht="18.75">
      <c r="E49" s="2"/>
      <c r="G49" s="1" t="s">
        <v>37</v>
      </c>
      <c r="H49" s="2"/>
    </row>
    <row r="50" spans="4:8" ht="18.75">
      <c r="E50" s="2"/>
      <c r="G50" s="2"/>
      <c r="H50" s="1" t="s">
        <v>38</v>
      </c>
    </row>
    <row r="51" spans="4:8" ht="18.75">
      <c r="E51" s="2"/>
      <c r="G51" s="2"/>
      <c r="H51" s="1" t="s">
        <v>39</v>
      </c>
    </row>
    <row r="52" spans="4:8" ht="18.75">
      <c r="E52" s="2"/>
      <c r="G52" s="2"/>
    </row>
    <row r="53" spans="4:8" ht="18.75">
      <c r="D53" s="1" t="s">
        <v>40</v>
      </c>
      <c r="E53" s="2"/>
      <c r="G53" s="2"/>
    </row>
    <row r="54" spans="4:8" ht="18.75">
      <c r="E54" s="1" t="s">
        <v>41</v>
      </c>
      <c r="G54" s="2"/>
    </row>
    <row r="55" spans="4:8" ht="18.75">
      <c r="E55" s="1" t="s">
        <v>42</v>
      </c>
      <c r="G55" s="2"/>
    </row>
    <row r="56" spans="4:8" ht="18.75">
      <c r="G56" s="2"/>
    </row>
    <row r="57" spans="4:8" ht="18.75">
      <c r="D57" s="1" t="s">
        <v>43</v>
      </c>
      <c r="G57" s="2"/>
    </row>
    <row r="58" spans="4:8" ht="18.75">
      <c r="E58" s="1" t="s">
        <v>44</v>
      </c>
      <c r="G58" s="2"/>
    </row>
    <row r="59" spans="4:8" ht="18.75">
      <c r="G59" s="2"/>
    </row>
    <row r="60" spans="4:8">
      <c r="D60" s="1" t="s">
        <v>45</v>
      </c>
    </row>
    <row r="61" spans="4:8">
      <c r="E61" s="1" t="s">
        <v>46</v>
      </c>
    </row>
    <row r="62" spans="4:8">
      <c r="E62" s="1" t="s">
        <v>47</v>
      </c>
    </row>
    <row r="63" spans="4:8">
      <c r="E63" s="1" t="s">
        <v>48</v>
      </c>
    </row>
    <row r="64" spans="4:8">
      <c r="E64" s="1" t="s">
        <v>49</v>
      </c>
    </row>
    <row r="65" spans="5:8">
      <c r="F65" s="1" t="s">
        <v>50</v>
      </c>
    </row>
    <row r="66" spans="5:8">
      <c r="F66" s="1" t="s">
        <v>51</v>
      </c>
    </row>
    <row r="67" spans="5:8">
      <c r="G67" s="1" t="s">
        <v>52</v>
      </c>
    </row>
    <row r="68" spans="5:8">
      <c r="H68" s="1" t="s">
        <v>53</v>
      </c>
    </row>
    <row r="69" spans="5:8">
      <c r="H69" s="1" t="s">
        <v>54</v>
      </c>
    </row>
    <row r="70" spans="5:8">
      <c r="G70" s="1" t="s">
        <v>55</v>
      </c>
    </row>
    <row r="71" spans="5:8">
      <c r="H71" s="1" t="s">
        <v>56</v>
      </c>
    </row>
    <row r="73" spans="5:8">
      <c r="F73" s="1" t="s">
        <v>57</v>
      </c>
    </row>
    <row r="74" spans="5:8">
      <c r="G74" s="1" t="s">
        <v>58</v>
      </c>
    </row>
    <row r="76" spans="5:8">
      <c r="E76" s="1" t="s">
        <v>59</v>
      </c>
    </row>
    <row r="78" spans="5:8">
      <c r="E78" s="1" t="s">
        <v>60</v>
      </c>
    </row>
    <row r="79" spans="5:8">
      <c r="F79" s="1" t="s">
        <v>61</v>
      </c>
    </row>
    <row r="80" spans="5:8">
      <c r="F80" s="1" t="s">
        <v>62</v>
      </c>
    </row>
    <row r="83" spans="5:9">
      <c r="E83" s="1" t="s">
        <v>63</v>
      </c>
      <c r="I83" s="1" t="s">
        <v>64</v>
      </c>
    </row>
    <row r="84" spans="5:9">
      <c r="F84" s="1" t="s">
        <v>65</v>
      </c>
    </row>
    <row r="85" spans="5:9">
      <c r="F85" s="1" t="s">
        <v>66</v>
      </c>
    </row>
    <row r="86" spans="5:9">
      <c r="F86" s="1" t="s">
        <v>67</v>
      </c>
    </row>
    <row r="88" spans="5:9">
      <c r="E88" s="1" t="s">
        <v>68</v>
      </c>
    </row>
    <row r="89" spans="5:9">
      <c r="E89" s="1" t="s">
        <v>69</v>
      </c>
    </row>
    <row r="90" spans="5:9">
      <c r="E90" s="1" t="s">
        <v>70</v>
      </c>
    </row>
    <row r="92" spans="5:9">
      <c r="E92" s="1" t="s">
        <v>71</v>
      </c>
    </row>
    <row r="93" spans="5:9">
      <c r="F93" s="1" t="s">
        <v>72</v>
      </c>
    </row>
    <row r="94" spans="5:9">
      <c r="E94" s="1" t="s">
        <v>73</v>
      </c>
    </row>
    <row r="95" spans="5:9">
      <c r="F95" s="1" t="s">
        <v>74</v>
      </c>
    </row>
    <row r="97" spans="5:7">
      <c r="F97" s="1" t="s">
        <v>75</v>
      </c>
    </row>
    <row r="99" spans="5:7">
      <c r="E99" s="1" t="s">
        <v>76</v>
      </c>
    </row>
    <row r="101" spans="5:7">
      <c r="E101" s="1" t="s">
        <v>63</v>
      </c>
    </row>
    <row r="102" spans="5:7">
      <c r="F102" s="1" t="s">
        <v>77</v>
      </c>
    </row>
    <row r="103" spans="5:7">
      <c r="G103" s="1" t="s">
        <v>78</v>
      </c>
    </row>
    <row r="104" spans="5:7">
      <c r="F104" s="1" t="s">
        <v>79</v>
      </c>
    </row>
    <row r="106" spans="5:7">
      <c r="E106" s="1" t="s">
        <v>34</v>
      </c>
    </row>
    <row r="108" spans="5:7">
      <c r="E108" s="1" t="s">
        <v>80</v>
      </c>
    </row>
    <row r="109" spans="5:7">
      <c r="F109" s="1" t="s">
        <v>81</v>
      </c>
    </row>
    <row r="110" spans="5:7">
      <c r="F110" s="1" t="s">
        <v>82</v>
      </c>
    </row>
    <row r="113" spans="3:7">
      <c r="D113" s="1" t="s">
        <v>83</v>
      </c>
    </row>
    <row r="114" spans="3:7" ht="18.75">
      <c r="E114" s="1" t="s">
        <v>382</v>
      </c>
      <c r="G114" s="2"/>
    </row>
    <row r="115" spans="3:7" ht="18.75">
      <c r="F115" s="1" t="s">
        <v>383</v>
      </c>
      <c r="G115" s="2"/>
    </row>
    <row r="116" spans="3:7" ht="18.75">
      <c r="E116" s="2"/>
      <c r="F116" s="1" t="s">
        <v>384</v>
      </c>
      <c r="G116" s="2"/>
    </row>
    <row r="117" spans="3:7" ht="18.75">
      <c r="E117" s="2"/>
      <c r="F117" s="1" t="s">
        <v>385</v>
      </c>
      <c r="G117" s="2"/>
    </row>
    <row r="120" spans="3:7">
      <c r="C120" s="1" t="s">
        <v>84</v>
      </c>
    </row>
    <row r="121" spans="3:7">
      <c r="D121" s="1" t="s">
        <v>85</v>
      </c>
    </row>
    <row r="123" spans="3:7">
      <c r="D123" s="1" t="s">
        <v>86</v>
      </c>
    </row>
    <row r="124" spans="3:7">
      <c r="E124" s="1" t="s">
        <v>87</v>
      </c>
    </row>
    <row r="126" spans="3:7">
      <c r="E126" s="1" t="s">
        <v>88</v>
      </c>
    </row>
    <row r="128" spans="3:7">
      <c r="D128" s="1" t="s">
        <v>89</v>
      </c>
    </row>
    <row r="129" spans="3:4">
      <c r="D129" s="1" t="s">
        <v>90</v>
      </c>
    </row>
    <row r="130" spans="3:4">
      <c r="D130" s="1" t="s">
        <v>91</v>
      </c>
    </row>
    <row r="131" spans="3:4">
      <c r="D131" s="1" t="s">
        <v>92</v>
      </c>
    </row>
    <row r="132" spans="3:4">
      <c r="D132" s="1" t="s">
        <v>93</v>
      </c>
    </row>
    <row r="133" spans="3:4">
      <c r="D133" s="1" t="s">
        <v>94</v>
      </c>
    </row>
    <row r="135" spans="3:4">
      <c r="C135" s="1" t="s">
        <v>95</v>
      </c>
    </row>
    <row r="136" spans="3:4">
      <c r="D136" s="1" t="s">
        <v>96</v>
      </c>
    </row>
    <row r="137" spans="3:4">
      <c r="D137" s="1" t="s">
        <v>97</v>
      </c>
    </row>
    <row r="139" spans="3:4">
      <c r="C139" s="1" t="s">
        <v>98</v>
      </c>
    </row>
    <row r="140" spans="3:4">
      <c r="D140" s="1" t="s">
        <v>99</v>
      </c>
    </row>
    <row r="142" spans="3:4">
      <c r="C142" s="1" t="s">
        <v>100</v>
      </c>
    </row>
    <row r="143" spans="3:4">
      <c r="D143" s="1" t="s">
        <v>101</v>
      </c>
    </row>
    <row r="144" spans="3:4">
      <c r="D144" s="1" t="s">
        <v>102</v>
      </c>
    </row>
    <row r="145" spans="3:4">
      <c r="D145" s="1" t="s">
        <v>103</v>
      </c>
    </row>
    <row r="146" spans="3:4">
      <c r="D146" s="1" t="s">
        <v>104</v>
      </c>
    </row>
    <row r="147" spans="3:4">
      <c r="D147" s="1" t="s">
        <v>386</v>
      </c>
    </row>
    <row r="149" spans="3:4">
      <c r="C149" s="1" t="s">
        <v>105</v>
      </c>
    </row>
    <row r="152" spans="3:4">
      <c r="C152" s="1" t="s">
        <v>106</v>
      </c>
    </row>
    <row r="153" spans="3:4">
      <c r="D153" s="1" t="s">
        <v>63</v>
      </c>
    </row>
    <row r="155" spans="3:4">
      <c r="D155" s="1" t="s">
        <v>107</v>
      </c>
    </row>
    <row r="157" spans="3:4">
      <c r="C157" s="1" t="s">
        <v>108</v>
      </c>
    </row>
    <row r="159" spans="3:4">
      <c r="C159" s="1" t="s">
        <v>109</v>
      </c>
    </row>
    <row r="160" spans="3:4">
      <c r="D160" s="1" t="s">
        <v>110</v>
      </c>
    </row>
    <row r="161" spans="2:7">
      <c r="D161" s="1" t="s">
        <v>111</v>
      </c>
    </row>
    <row r="164" spans="2:7">
      <c r="B164" s="1" t="s">
        <v>112</v>
      </c>
    </row>
    <row r="166" spans="2:7">
      <c r="C166" s="1" t="s">
        <v>14</v>
      </c>
    </row>
    <row r="167" spans="2:7" ht="18.75">
      <c r="D167" s="1" t="s">
        <v>113</v>
      </c>
      <c r="E167" s="2"/>
      <c r="G167" s="2"/>
    </row>
    <row r="168" spans="2:7">
      <c r="E168" s="1" t="s">
        <v>114</v>
      </c>
    </row>
    <row r="169" spans="2:7" ht="18.75">
      <c r="F169" s="2" t="s">
        <v>115</v>
      </c>
    </row>
    <row r="170" spans="2:7" ht="18.75">
      <c r="F170" s="2"/>
    </row>
    <row r="171" spans="2:7" ht="18.75">
      <c r="E171" s="1" t="s">
        <v>116</v>
      </c>
      <c r="F171" s="2"/>
    </row>
    <row r="172" spans="2:7" ht="18.75">
      <c r="E172" s="2"/>
      <c r="F172" s="2" t="s">
        <v>117</v>
      </c>
    </row>
  </sheetData>
  <phoneticPr fontId="2"/>
  <hyperlinks>
    <hyperlink ref="F7" r:id="rId1" display="https://teams.microsoft.com/l/team/19%3AxBJD6U_busXpHyEoKg42LtWtgrmz24JDNvY0rVwzXzY1%40thread.tacv2/conversations?groupId=76a925d1-92a5-47b5-a299-f86ad7bc2209&amp;tenantId=4863f5d6-4760-4589-be9c-42f82e075739" xr:uid="{64036496-046E-4948-93C4-F6843E64B280}"/>
    <hyperlink ref="H9" r:id="rId2" display="https://teams.microsoft.com/l/message/19:b1lcWLxG_UblDxRSEJNBLoBghxQpmeOjEKDad9JRWy01@thread.tacv2/1694082997228?tenantId=4863f5d6-4760-4589-be9c-42f82e075739&amp;groupId=76a925d1-92a5-47b5-a299-f86ad7bc2209&amp;parentMessageId=1694082997228&amp;teamName=%5BKABD%2FDPDC%2FPAPVN%2FPRDCV%5D%20GIoT%20Fridge&amp;channelName=RF%20Operation&amp;createdTime=1694082997228&amp;ngc=true&amp;allowXTenantAccess=true" xr:uid="{FB3145D0-2914-4692-8F1A-CC441E8E2FD6}"/>
    <hyperlink ref="H10" r:id="rId3" display="http://localhost:56315/?path=%5c%5c10.76.205.156%5c02%e5%90%84%e8%aa%b2%e5%85%b1%e9%80%9a%5c24%e5%88%b6%e5%be%a1%e9%96%8b%e7%99%ba%5cE-IoT%5c11_%e9%81%8b%e7%94%a8%e4%bf%9d%e5%ae%88%5c04_GIoT" xr:uid="{F6A2337E-E297-4FF1-B6F5-9BCFE843B437}"/>
    <hyperlink ref="E16" r:id="rId4" display="http://localhost:56315/?path=%5c%5c10.76.205.156%5c02%e5%90%84%e8%aa%b2%e5%85%b1%e9%80%9a%5c24%e5%88%b6%e5%be%a1%e9%96%8b%e7%99%ba%5cE-IoT%5c01_%e9%96%8b%e7%99%ba%5c04_GIoT" xr:uid="{207E3BC4-7933-4D7D-8F14-21D10E77EE40}"/>
    <hyperlink ref="E17" r:id="rId5" display="http://localhost:56315/?path=%5c%5c10.76.205.156%5c02%e5%90%84%e8%aa%b2%e5%85%b1%e9%80%9a%5c24%e5%88%b6%e5%be%a1%e9%96%8b%e7%99%ba%5cE-IoT%5c11_%e9%81%8b%e7%94%a8%e4%bf%9d%e5%ae%88%5c04_GIoT" xr:uid="{6D22709C-03C4-4E43-BB7C-D50786AF4F24}"/>
    <hyperlink ref="E26" r:id="rId6" display="https://teams.microsoft.com/l/message/19:4ccbe7c2b71a426e8676dfa1feee9e9e@thread.tacv2/1780308908971?tenantId=4863f5d6-4760-4589-be9c-42f82e075739&amp;groupId=edf45eed-46c0-4a1e-983b-67d34a1ed6a9&amp;parentMessageId=1779683303785&amp;teamName=IoT%E6%8E%A8%E9%80%B2%E8%AA%B2&amp;channelName=01_%E3%81%BF%E3%82%93%E3%81%AA%E3%81%AE%E3%82%BF%E3%82%B9%E3%82%AF&amp;createdTime=1780308908971" xr:uid="{88E27457-908D-4BF3-B8E8-9A6FC0BAC33B}"/>
    <hyperlink ref="G43" r:id="rId7" display="https://dit-nn.backlog.com/view/KITCHEN_PF-3274" xr:uid="{FEC96288-E9F8-405B-953B-4A503448DECF}"/>
    <hyperlink ref="F169" r:id="rId8" display="https://teams.microsoft.com/l/message/19:948632d530714949a4697b4b0a90cc09@thread.tacv2/1777340437872?tenantId=4863f5d6-4760-4589-be9c-42f82e075739&amp;groupId=588f1285-af65-4582-b91a-4eabf67560a9&amp;parentMessageId=1777340437872&amp;teamName=WiFi%E5%AE%B6%E9%9B%BB%E5%85%B1%E6%9C%89%E4%BC%9A&amp;channelName=%E6%83%85%E5%A0%B1%E5%85%B1%E6%9C%89&amp;createdTime=1777340437872" xr:uid="{B5297D7F-26C0-4D75-B742-874AFA22EBAE}"/>
    <hyperlink ref="F172" r:id="rId9" display="https://teams.microsoft.com/l/message/19:61deeb17408548bb9a1c04db8c56d6c6@thread.tacv2/1781484665965?tenantId=4863f5d6-4760-4589-be9c-42f82e075739&amp;groupId=edf45eed-46c0-4a1e-983b-67d34a1ed6a9&amp;parentMessageId=1781484665965&amp;teamName=IoT%E6%8E%A8%E9%80%B2%E8%AA%B2&amp;channelName=10_%E9%80%A3%E7%B5%A1%E4%BA%8B%E9%A0%85&amp;createdTime=1781484665965" xr:uid="{61554CBF-D95F-4C26-B3C1-4BA0DA2D1C6A}"/>
    <hyperlink ref="H46" r:id="rId10" display="http://localhost:56315/?path=%5c%5c10.76.205.156%5c02%e5%90%84%e8%aa%b2%e5%85%b1%e9%80%9a%5c24%e5%88%b6%e5%be%a1%e9%96%8b%e7%99%ba%5cE-IoT%5c41_%e3%83%aa%e3%83%aa%e3%83%bc%e3%82%b9%e8%aa%8d%e5%ae%9a%e6%9b%b8" xr:uid="{19F315C5-247E-4AF1-958F-90B03EEB1E4A}"/>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4B8E-64E6-42B2-ADB5-1FBD795DB390}">
  <dimension ref="B2:B364"/>
  <sheetViews>
    <sheetView topLeftCell="A45" workbookViewId="0">
      <selection activeCell="D29" sqref="D29:D31"/>
    </sheetView>
  </sheetViews>
  <sheetFormatPr defaultRowHeight="15.75"/>
  <cols>
    <col min="1" max="16384" width="9" style="3"/>
  </cols>
  <sheetData>
    <row r="2" spans="2:2">
      <c r="B2" s="3" t="s">
        <v>118</v>
      </c>
    </row>
    <row r="3" spans="2:2" ht="18.75">
      <c r="B3" s="3" t="s">
        <v>119</v>
      </c>
    </row>
    <row r="4" spans="2:2" ht="18.75">
      <c r="B4" s="4" t="s">
        <v>120</v>
      </c>
    </row>
    <row r="6" spans="2:2" ht="18.75">
      <c r="B6" s="3" t="s">
        <v>121</v>
      </c>
    </row>
    <row r="10" spans="2:2" ht="33">
      <c r="B10" s="5" t="s">
        <v>122</v>
      </c>
    </row>
    <row r="12" spans="2:2" ht="18.75">
      <c r="B12" s="3" t="s">
        <v>123</v>
      </c>
    </row>
    <row r="16" spans="2:2" ht="24">
      <c r="B16" s="6" t="s">
        <v>124</v>
      </c>
    </row>
    <row r="18" spans="2:2">
      <c r="B18" s="4" t="s">
        <v>125</v>
      </c>
    </row>
    <row r="20" spans="2:2">
      <c r="B20" s="4" t="s">
        <v>126</v>
      </c>
    </row>
    <row r="21" spans="2:2">
      <c r="B21" s="7"/>
    </row>
    <row r="22" spans="2:2">
      <c r="B22" s="7" t="s">
        <v>127</v>
      </c>
    </row>
    <row r="23" spans="2:2">
      <c r="B23" s="7" t="s">
        <v>128</v>
      </c>
    </row>
    <row r="24" spans="2:2">
      <c r="B24" s="7" t="s">
        <v>129</v>
      </c>
    </row>
    <row r="25" spans="2:2">
      <c r="B25" s="7" t="s">
        <v>130</v>
      </c>
    </row>
    <row r="26" spans="2:2">
      <c r="B26" s="7" t="s">
        <v>131</v>
      </c>
    </row>
    <row r="28" spans="2:2">
      <c r="B28" s="4" t="s">
        <v>132</v>
      </c>
    </row>
    <row r="29" spans="2:2">
      <c r="B29" s="7"/>
    </row>
    <row r="30" spans="2:2">
      <c r="B30" s="7" t="s">
        <v>133</v>
      </c>
    </row>
    <row r="31" spans="2:2">
      <c r="B31" s="7" t="s">
        <v>134</v>
      </c>
    </row>
    <row r="32" spans="2:2">
      <c r="B32" s="7" t="s">
        <v>135</v>
      </c>
    </row>
    <row r="33" spans="2:2">
      <c r="B33" s="7" t="s">
        <v>136</v>
      </c>
    </row>
    <row r="35" spans="2:2">
      <c r="B35" s="4" t="s">
        <v>137</v>
      </c>
    </row>
    <row r="36" spans="2:2">
      <c r="B36" s="7"/>
    </row>
    <row r="37" spans="2:2">
      <c r="B37" s="7" t="s">
        <v>138</v>
      </c>
    </row>
    <row r="38" spans="2:2">
      <c r="B38" s="7" t="s">
        <v>139</v>
      </c>
    </row>
    <row r="42" spans="2:2" ht="24">
      <c r="B42" s="6" t="s">
        <v>140</v>
      </c>
    </row>
    <row r="44" spans="2:2">
      <c r="B44" s="4" t="s">
        <v>141</v>
      </c>
    </row>
    <row r="46" spans="2:2">
      <c r="B46" s="4" t="s">
        <v>126</v>
      </c>
    </row>
    <row r="47" spans="2:2">
      <c r="B47" s="7"/>
    </row>
    <row r="48" spans="2:2">
      <c r="B48" s="7" t="s">
        <v>142</v>
      </c>
    </row>
    <row r="49" spans="2:2">
      <c r="B49" s="7" t="s">
        <v>143</v>
      </c>
    </row>
    <row r="50" spans="2:2">
      <c r="B50" s="7" t="s">
        <v>144</v>
      </c>
    </row>
    <row r="51" spans="2:2">
      <c r="B51" s="7" t="s">
        <v>145</v>
      </c>
    </row>
    <row r="52" spans="2:2">
      <c r="B52" s="7" t="s">
        <v>146</v>
      </c>
    </row>
    <row r="53" spans="2:2">
      <c r="B53" s="7" t="s">
        <v>147</v>
      </c>
    </row>
    <row r="55" spans="2:2">
      <c r="B55" s="4" t="s">
        <v>132</v>
      </c>
    </row>
    <row r="56" spans="2:2">
      <c r="B56" s="7"/>
    </row>
    <row r="57" spans="2:2">
      <c r="B57" s="7" t="s">
        <v>148</v>
      </c>
    </row>
    <row r="58" spans="2:2">
      <c r="B58" s="7" t="s">
        <v>149</v>
      </c>
    </row>
    <row r="59" spans="2:2">
      <c r="B59" s="7" t="s">
        <v>150</v>
      </c>
    </row>
    <row r="60" spans="2:2">
      <c r="B60" s="7" t="s">
        <v>151</v>
      </c>
    </row>
    <row r="62" spans="2:2">
      <c r="B62" s="4" t="s">
        <v>137</v>
      </c>
    </row>
    <row r="63" spans="2:2">
      <c r="B63" s="7"/>
    </row>
    <row r="64" spans="2:2">
      <c r="B64" s="7" t="s">
        <v>152</v>
      </c>
    </row>
    <row r="65" spans="2:2">
      <c r="B65" s="7" t="s">
        <v>153</v>
      </c>
    </row>
    <row r="66" spans="2:2">
      <c r="B66" s="7" t="s">
        <v>154</v>
      </c>
    </row>
    <row r="70" spans="2:2" ht="24">
      <c r="B70" s="6" t="s">
        <v>155</v>
      </c>
    </row>
    <row r="72" spans="2:2">
      <c r="B72" s="4" t="s">
        <v>156</v>
      </c>
    </row>
    <row r="74" spans="2:2">
      <c r="B74" s="4" t="s">
        <v>126</v>
      </c>
    </row>
    <row r="75" spans="2:2">
      <c r="B75" s="7"/>
    </row>
    <row r="76" spans="2:2">
      <c r="B76" s="7" t="s">
        <v>157</v>
      </c>
    </row>
    <row r="77" spans="2:2">
      <c r="B77" s="7" t="s">
        <v>158</v>
      </c>
    </row>
    <row r="78" spans="2:2">
      <c r="B78" s="7" t="s">
        <v>159</v>
      </c>
    </row>
    <row r="79" spans="2:2">
      <c r="B79" s="7" t="s">
        <v>160</v>
      </c>
    </row>
    <row r="80" spans="2:2">
      <c r="B80" s="7" t="s">
        <v>161</v>
      </c>
    </row>
    <row r="82" spans="2:2">
      <c r="B82" s="4" t="s">
        <v>132</v>
      </c>
    </row>
    <row r="83" spans="2:2">
      <c r="B83" s="7"/>
    </row>
    <row r="84" spans="2:2">
      <c r="B84" s="7" t="s">
        <v>162</v>
      </c>
    </row>
    <row r="85" spans="2:2">
      <c r="B85" s="7" t="s">
        <v>163</v>
      </c>
    </row>
    <row r="86" spans="2:2">
      <c r="B86" s="7" t="s">
        <v>164</v>
      </c>
    </row>
    <row r="87" spans="2:2">
      <c r="B87" s="7" t="s">
        <v>165</v>
      </c>
    </row>
    <row r="89" spans="2:2">
      <c r="B89" s="4" t="s">
        <v>137</v>
      </c>
    </row>
    <row r="90" spans="2:2">
      <c r="B90" s="7"/>
    </row>
    <row r="91" spans="2:2">
      <c r="B91" s="8" t="s">
        <v>166</v>
      </c>
    </row>
    <row r="92" spans="2:2">
      <c r="B92" s="7" t="s">
        <v>167</v>
      </c>
    </row>
    <row r="93" spans="2:2">
      <c r="B93" s="7" t="s">
        <v>168</v>
      </c>
    </row>
    <row r="97" spans="2:2" ht="33">
      <c r="B97" s="5" t="s">
        <v>169</v>
      </c>
    </row>
    <row r="99" spans="2:2" ht="18.75">
      <c r="B99" s="3" t="s">
        <v>170</v>
      </c>
    </row>
    <row r="103" spans="2:2" ht="24">
      <c r="B103" s="6" t="s">
        <v>171</v>
      </c>
    </row>
    <row r="105" spans="2:2">
      <c r="B105" s="9" t="s">
        <v>172</v>
      </c>
    </row>
    <row r="106" spans="2:2">
      <c r="B106" s="9" t="s">
        <v>173</v>
      </c>
    </row>
    <row r="108" spans="2:2">
      <c r="B108" s="9" t="s">
        <v>174</v>
      </c>
    </row>
    <row r="109" spans="2:2">
      <c r="B109" s="9" t="s">
        <v>175</v>
      </c>
    </row>
    <row r="110" spans="2:2">
      <c r="B110" s="9" t="s">
        <v>176</v>
      </c>
    </row>
    <row r="111" spans="2:2">
      <c r="B111" s="9" t="s">
        <v>177</v>
      </c>
    </row>
    <row r="112" spans="2:2">
      <c r="B112" s="9" t="s">
        <v>178</v>
      </c>
    </row>
    <row r="114" spans="2:2">
      <c r="B114" s="9" t="s">
        <v>179</v>
      </c>
    </row>
    <row r="115" spans="2:2">
      <c r="B115" s="9" t="s">
        <v>180</v>
      </c>
    </row>
    <row r="116" spans="2:2">
      <c r="B116" s="9" t="s">
        <v>181</v>
      </c>
    </row>
    <row r="117" spans="2:2">
      <c r="B117" s="9" t="s">
        <v>182</v>
      </c>
    </row>
    <row r="119" spans="2:2">
      <c r="B119" s="9" t="s">
        <v>183</v>
      </c>
    </row>
    <row r="120" spans="2:2">
      <c r="B120" s="9" t="s">
        <v>184</v>
      </c>
    </row>
    <row r="121" spans="2:2">
      <c r="B121" s="9" t="s">
        <v>185</v>
      </c>
    </row>
    <row r="122" spans="2:2">
      <c r="B122" s="9" t="s">
        <v>186</v>
      </c>
    </row>
    <row r="124" spans="2:2">
      <c r="B124" s="9" t="s">
        <v>187</v>
      </c>
    </row>
    <row r="125" spans="2:2">
      <c r="B125" s="9">
        <v>1</v>
      </c>
    </row>
    <row r="126" spans="2:2">
      <c r="B126" s="9">
        <v>2</v>
      </c>
    </row>
    <row r="127" spans="2:2">
      <c r="B127" s="9">
        <v>3</v>
      </c>
    </row>
    <row r="129" spans="2:2">
      <c r="B129" s="9" t="s">
        <v>188</v>
      </c>
    </row>
    <row r="130" spans="2:2">
      <c r="B130" s="9" t="s">
        <v>189</v>
      </c>
    </row>
    <row r="131" spans="2:2">
      <c r="B131" s="9" t="s">
        <v>190</v>
      </c>
    </row>
    <row r="133" spans="2:2">
      <c r="B133" s="9" t="s">
        <v>191</v>
      </c>
    </row>
    <row r="134" spans="2:2">
      <c r="B134" s="9" t="s">
        <v>192</v>
      </c>
    </row>
    <row r="135" spans="2:2">
      <c r="B135" s="9" t="s">
        <v>193</v>
      </c>
    </row>
    <row r="137" spans="2:2">
      <c r="B137" s="9" t="s">
        <v>194</v>
      </c>
    </row>
    <row r="138" spans="2:2">
      <c r="B138" s="9" t="s">
        <v>195</v>
      </c>
    </row>
    <row r="140" spans="2:2">
      <c r="B140" s="9" t="s">
        <v>196</v>
      </c>
    </row>
    <row r="141" spans="2:2">
      <c r="B141" s="9" t="s">
        <v>197</v>
      </c>
    </row>
    <row r="142" spans="2:2">
      <c r="B142" s="9" t="s">
        <v>198</v>
      </c>
    </row>
    <row r="146" spans="2:2" ht="33">
      <c r="B146" s="5" t="s">
        <v>199</v>
      </c>
    </row>
    <row r="148" spans="2:2" ht="18.75">
      <c r="B148" s="3" t="s">
        <v>200</v>
      </c>
    </row>
    <row r="152" spans="2:2" ht="24">
      <c r="B152" s="6" t="s">
        <v>201</v>
      </c>
    </row>
    <row r="154" spans="2:2">
      <c r="B154" s="9" t="s">
        <v>202</v>
      </c>
    </row>
    <row r="155" spans="2:2">
      <c r="B155" s="10" t="s">
        <v>203</v>
      </c>
    </row>
    <row r="156" spans="2:2">
      <c r="B156" s="10" t="s">
        <v>204</v>
      </c>
    </row>
    <row r="157" spans="2:2">
      <c r="B157" s="9" t="s">
        <v>205</v>
      </c>
    </row>
    <row r="159" spans="2:2">
      <c r="B159" s="9" t="s">
        <v>206</v>
      </c>
    </row>
    <row r="160" spans="2:2">
      <c r="B160" s="9" t="s">
        <v>207</v>
      </c>
    </row>
    <row r="161" spans="2:2">
      <c r="B161" s="9" t="s">
        <v>208</v>
      </c>
    </row>
    <row r="162" spans="2:2">
      <c r="B162" s="9" t="s">
        <v>209</v>
      </c>
    </row>
    <row r="163" spans="2:2">
      <c r="B163" s="9" t="s">
        <v>210</v>
      </c>
    </row>
    <row r="164" spans="2:2">
      <c r="B164" s="9" t="s">
        <v>211</v>
      </c>
    </row>
    <row r="166" spans="2:2">
      <c r="B166" s="9" t="s">
        <v>212</v>
      </c>
    </row>
    <row r="167" spans="2:2">
      <c r="B167" s="9" t="s">
        <v>213</v>
      </c>
    </row>
    <row r="168" spans="2:2">
      <c r="B168" s="9" t="s">
        <v>214</v>
      </c>
    </row>
    <row r="169" spans="2:2">
      <c r="B169" s="9" t="s">
        <v>215</v>
      </c>
    </row>
    <row r="170" spans="2:2">
      <c r="B170" s="9" t="s">
        <v>216</v>
      </c>
    </row>
    <row r="171" spans="2:2">
      <c r="B171" s="9" t="s">
        <v>217</v>
      </c>
    </row>
    <row r="175" spans="2:2" ht="33">
      <c r="B175" s="5" t="s">
        <v>218</v>
      </c>
    </row>
    <row r="176" spans="2:2">
      <c r="B176" s="7"/>
    </row>
    <row r="177" spans="2:2">
      <c r="B177" s="8" t="s">
        <v>219</v>
      </c>
    </row>
    <row r="178" spans="2:2">
      <c r="B178" s="7" t="s">
        <v>220</v>
      </c>
    </row>
    <row r="179" spans="2:2">
      <c r="B179" s="7"/>
    </row>
    <row r="180" spans="2:2">
      <c r="B180" s="7" t="s">
        <v>221</v>
      </c>
    </row>
    <row r="181" spans="2:2">
      <c r="B181" s="7" t="s">
        <v>222</v>
      </c>
    </row>
    <row r="182" spans="2:2">
      <c r="B182" s="7" t="s">
        <v>223</v>
      </c>
    </row>
    <row r="186" spans="2:2">
      <c r="B186" s="3" t="s">
        <v>224</v>
      </c>
    </row>
    <row r="187" spans="2:2">
      <c r="B187" s="4" t="s">
        <v>225</v>
      </c>
    </row>
    <row r="188" spans="2:2">
      <c r="B188" s="4" t="s">
        <v>226</v>
      </c>
    </row>
    <row r="189" spans="2:2">
      <c r="B189" s="4" t="s">
        <v>227</v>
      </c>
    </row>
    <row r="190" spans="2:2">
      <c r="B190" s="3" t="s">
        <v>228</v>
      </c>
    </row>
    <row r="194" spans="2:2" ht="18.75">
      <c r="B194" s="3" t="s">
        <v>229</v>
      </c>
    </row>
    <row r="195" spans="2:2" ht="18.75">
      <c r="B195" s="3" t="s">
        <v>230</v>
      </c>
    </row>
    <row r="196" spans="2:2" ht="18.75">
      <c r="B196" s="3" t="s">
        <v>231</v>
      </c>
    </row>
    <row r="198" spans="2:2">
      <c r="B198" s="3" t="s">
        <v>232</v>
      </c>
    </row>
    <row r="199" spans="2:2" ht="18.75">
      <c r="B199" s="4" t="s">
        <v>233</v>
      </c>
    </row>
    <row r="203" spans="2:2" ht="33">
      <c r="B203" s="5" t="s">
        <v>234</v>
      </c>
    </row>
    <row r="205" spans="2:2">
      <c r="B205" s="3" t="s">
        <v>235</v>
      </c>
    </row>
    <row r="206" spans="2:2">
      <c r="B206" s="7"/>
    </row>
    <row r="207" spans="2:2">
      <c r="B207" s="7" t="s">
        <v>236</v>
      </c>
    </row>
    <row r="208" spans="2:2">
      <c r="B208" s="7" t="s">
        <v>237</v>
      </c>
    </row>
    <row r="209" spans="2:2">
      <c r="B209" s="7" t="s">
        <v>238</v>
      </c>
    </row>
    <row r="210" spans="2:2">
      <c r="B210" s="7" t="s">
        <v>239</v>
      </c>
    </row>
    <row r="211" spans="2:2">
      <c r="B211" s="7" t="s">
        <v>240</v>
      </c>
    </row>
    <row r="212" spans="2:2">
      <c r="B212" s="7" t="s">
        <v>241</v>
      </c>
    </row>
    <row r="214" spans="2:2" ht="18.75">
      <c r="B214" s="3" t="s">
        <v>242</v>
      </c>
    </row>
    <row r="216" spans="2:2">
      <c r="B216" s="3" t="s">
        <v>243</v>
      </c>
    </row>
    <row r="217" spans="2:2">
      <c r="B217" s="4" t="s">
        <v>244</v>
      </c>
    </row>
    <row r="218" spans="2:2">
      <c r="B218" s="3" t="s">
        <v>245</v>
      </c>
    </row>
    <row r="222" spans="2:2" ht="33">
      <c r="B222" s="5" t="s">
        <v>246</v>
      </c>
    </row>
    <row r="224" spans="2:2">
      <c r="B224" s="3" t="s">
        <v>247</v>
      </c>
    </row>
    <row r="225" spans="2:2">
      <c r="B225" s="7"/>
    </row>
    <row r="226" spans="2:2">
      <c r="B226" s="7" t="s">
        <v>248</v>
      </c>
    </row>
    <row r="227" spans="2:2">
      <c r="B227" s="7" t="s">
        <v>249</v>
      </c>
    </row>
    <row r="228" spans="2:2">
      <c r="B228" s="7" t="s">
        <v>250</v>
      </c>
    </row>
    <row r="229" spans="2:2">
      <c r="B229" s="7" t="s">
        <v>251</v>
      </c>
    </row>
    <row r="230" spans="2:2">
      <c r="B230" s="7" t="s">
        <v>252</v>
      </c>
    </row>
    <row r="232" spans="2:2">
      <c r="B232" s="3" t="s">
        <v>253</v>
      </c>
    </row>
    <row r="233" spans="2:2" ht="18.75">
      <c r="B233" s="4" t="s">
        <v>254</v>
      </c>
    </row>
    <row r="235" spans="2:2" ht="18.75">
      <c r="B235" s="3" t="s">
        <v>255</v>
      </c>
    </row>
    <row r="236" spans="2:2" ht="18.75">
      <c r="B236" s="4" t="s">
        <v>256</v>
      </c>
    </row>
    <row r="240" spans="2:2" ht="33">
      <c r="B240" s="5" t="s">
        <v>257</v>
      </c>
    </row>
    <row r="242" spans="2:2">
      <c r="B242" s="3" t="s">
        <v>258</v>
      </c>
    </row>
    <row r="243" spans="2:2">
      <c r="B243" s="7"/>
    </row>
    <row r="244" spans="2:2">
      <c r="B244" s="7" t="s">
        <v>259</v>
      </c>
    </row>
    <row r="245" spans="2:2">
      <c r="B245" s="7" t="s">
        <v>260</v>
      </c>
    </row>
    <row r="246" spans="2:2">
      <c r="B246" s="7" t="s">
        <v>261</v>
      </c>
    </row>
    <row r="247" spans="2:2">
      <c r="B247" s="7" t="s">
        <v>262</v>
      </c>
    </row>
    <row r="249" spans="2:2">
      <c r="B249" s="3" t="s">
        <v>263</v>
      </c>
    </row>
    <row r="250" spans="2:2" ht="18.75">
      <c r="B250" s="4" t="s">
        <v>264</v>
      </c>
    </row>
    <row r="252" spans="2:2" ht="18.75">
      <c r="B252" s="3" t="s">
        <v>265</v>
      </c>
    </row>
    <row r="253" spans="2:2">
      <c r="B253" s="3" t="s">
        <v>266</v>
      </c>
    </row>
    <row r="257" spans="2:2" ht="33">
      <c r="B257" s="5" t="s">
        <v>267</v>
      </c>
    </row>
    <row r="259" spans="2:2">
      <c r="B259" s="3" t="s">
        <v>268</v>
      </c>
    </row>
    <row r="260" spans="2:2">
      <c r="B260" s="7"/>
    </row>
    <row r="261" spans="2:2">
      <c r="B261" s="7" t="s">
        <v>269</v>
      </c>
    </row>
    <row r="262" spans="2:2">
      <c r="B262" s="7" t="s">
        <v>144</v>
      </c>
    </row>
    <row r="263" spans="2:2">
      <c r="B263" s="7" t="s">
        <v>270</v>
      </c>
    </row>
    <row r="264" spans="2:2">
      <c r="B264" s="7" t="s">
        <v>145</v>
      </c>
    </row>
    <row r="265" spans="2:2">
      <c r="B265" s="7" t="s">
        <v>271</v>
      </c>
    </row>
    <row r="266" spans="2:2">
      <c r="B266" s="7" t="s">
        <v>272</v>
      </c>
    </row>
    <row r="267" spans="2:2">
      <c r="B267" s="7" t="s">
        <v>273</v>
      </c>
    </row>
    <row r="268" spans="2:2">
      <c r="B268" s="7" t="s">
        <v>274</v>
      </c>
    </row>
    <row r="270" spans="2:2" ht="18.75">
      <c r="B270" s="3" t="s">
        <v>275</v>
      </c>
    </row>
    <row r="272" spans="2:2">
      <c r="B272" s="3" t="s">
        <v>276</v>
      </c>
    </row>
    <row r="273" spans="2:2" ht="18.75">
      <c r="B273" s="4" t="s">
        <v>277</v>
      </c>
    </row>
    <row r="277" spans="2:2" ht="33">
      <c r="B277" s="5" t="s">
        <v>278</v>
      </c>
    </row>
    <row r="279" spans="2:2">
      <c r="B279" s="9" t="s">
        <v>279</v>
      </c>
    </row>
    <row r="280" spans="2:2">
      <c r="B280" s="9" t="s">
        <v>280</v>
      </c>
    </row>
    <row r="281" spans="2:2">
      <c r="B281" s="9" t="s">
        <v>281</v>
      </c>
    </row>
    <row r="282" spans="2:2">
      <c r="B282" s="9" t="s">
        <v>282</v>
      </c>
    </row>
    <row r="284" spans="2:2" ht="18.75">
      <c r="B284" s="3" t="s">
        <v>283</v>
      </c>
    </row>
    <row r="288" spans="2:2" ht="33">
      <c r="B288" s="5" t="s">
        <v>284</v>
      </c>
    </row>
    <row r="289" spans="2:2">
      <c r="B289" s="7"/>
    </row>
    <row r="290" spans="2:2">
      <c r="B290" s="7" t="s">
        <v>285</v>
      </c>
    </row>
    <row r="291" spans="2:2">
      <c r="B291" s="7" t="s">
        <v>286</v>
      </c>
    </row>
    <row r="292" spans="2:2">
      <c r="B292" s="7" t="s">
        <v>287</v>
      </c>
    </row>
    <row r="294" spans="2:2">
      <c r="B294" s="3" t="s">
        <v>288</v>
      </c>
    </row>
    <row r="298" spans="2:2">
      <c r="B298" s="3" t="s">
        <v>118</v>
      </c>
    </row>
    <row r="299" spans="2:2" ht="18.75">
      <c r="B299" s="3" t="s">
        <v>289</v>
      </c>
    </row>
    <row r="301" spans="2:2">
      <c r="B301" s="3" t="s">
        <v>290</v>
      </c>
    </row>
    <row r="302" spans="2:2">
      <c r="B302" s="4" t="s">
        <v>291</v>
      </c>
    </row>
    <row r="303" spans="2:2" ht="18.75">
      <c r="B303" s="3" t="s">
        <v>292</v>
      </c>
    </row>
    <row r="307" spans="2:2" ht="33">
      <c r="B307" s="5" t="s">
        <v>293</v>
      </c>
    </row>
    <row r="309" spans="2:2" ht="24">
      <c r="B309" s="6" t="s">
        <v>294</v>
      </c>
    </row>
    <row r="311" spans="2:2" ht="18.75">
      <c r="B311" s="11" t="s">
        <v>295</v>
      </c>
    </row>
    <row r="313" spans="2:2">
      <c r="B313" s="3" t="s">
        <v>296</v>
      </c>
    </row>
    <row r="314" spans="2:2">
      <c r="B314" s="7"/>
    </row>
    <row r="315" spans="2:2">
      <c r="B315" s="7" t="s">
        <v>297</v>
      </c>
    </row>
    <row r="316" spans="2:2">
      <c r="B316" s="7" t="s">
        <v>298</v>
      </c>
    </row>
    <row r="317" spans="2:2">
      <c r="B317" s="7" t="s">
        <v>299</v>
      </c>
    </row>
    <row r="318" spans="2:2">
      <c r="B318" s="7" t="s">
        <v>300</v>
      </c>
    </row>
    <row r="322" spans="2:2" ht="33">
      <c r="B322" s="5" t="s">
        <v>301</v>
      </c>
    </row>
    <row r="324" spans="2:2" ht="24">
      <c r="B324" s="6" t="s">
        <v>302</v>
      </c>
    </row>
    <row r="325" spans="2:2">
      <c r="B325" s="7"/>
    </row>
    <row r="326" spans="2:2">
      <c r="B326" s="8" t="s">
        <v>303</v>
      </c>
    </row>
    <row r="327" spans="2:2">
      <c r="B327" s="8" t="s">
        <v>304</v>
      </c>
    </row>
    <row r="329" spans="2:2" ht="24">
      <c r="B329" s="6" t="s">
        <v>305</v>
      </c>
    </row>
    <row r="330" spans="2:2">
      <c r="B330" s="7"/>
    </row>
    <row r="331" spans="2:2">
      <c r="B331" s="8" t="s">
        <v>306</v>
      </c>
    </row>
    <row r="332" spans="2:2">
      <c r="B332" s="8" t="s">
        <v>307</v>
      </c>
    </row>
    <row r="334" spans="2:2" ht="24">
      <c r="B334" s="6" t="s">
        <v>308</v>
      </c>
    </row>
    <row r="335" spans="2:2">
      <c r="B335" s="7"/>
    </row>
    <row r="336" spans="2:2">
      <c r="B336" s="8" t="s">
        <v>309</v>
      </c>
    </row>
    <row r="337" spans="2:2">
      <c r="B337" s="8" t="s">
        <v>310</v>
      </c>
    </row>
    <row r="339" spans="2:2" ht="24">
      <c r="B339" s="6" t="s">
        <v>311</v>
      </c>
    </row>
    <row r="340" spans="2:2">
      <c r="B340" s="7"/>
    </row>
    <row r="341" spans="2:2">
      <c r="B341" s="8" t="s">
        <v>312</v>
      </c>
    </row>
    <row r="342" spans="2:2">
      <c r="B342" s="8" t="s">
        <v>313</v>
      </c>
    </row>
    <row r="346" spans="2:2" ht="33">
      <c r="B346" s="5" t="s">
        <v>314</v>
      </c>
    </row>
    <row r="348" spans="2:2">
      <c r="B348" s="3" t="s">
        <v>315</v>
      </c>
    </row>
    <row r="349" spans="2:2">
      <c r="B349" s="3" t="s">
        <v>316</v>
      </c>
    </row>
    <row r="351" spans="2:2" ht="18.75">
      <c r="B351" s="11" t="s">
        <v>317</v>
      </c>
    </row>
    <row r="352" spans="2:2">
      <c r="B352" s="7"/>
    </row>
    <row r="353" spans="2:2">
      <c r="B353" s="7" t="s">
        <v>318</v>
      </c>
    </row>
    <row r="354" spans="2:2">
      <c r="B354" s="7" t="s">
        <v>319</v>
      </c>
    </row>
    <row r="355" spans="2:2">
      <c r="B355" s="7" t="s">
        <v>320</v>
      </c>
    </row>
    <row r="356" spans="2:2">
      <c r="B356" s="7" t="s">
        <v>321</v>
      </c>
    </row>
    <row r="360" spans="2:2">
      <c r="B360" s="3" t="s">
        <v>322</v>
      </c>
    </row>
    <row r="361" spans="2:2">
      <c r="B361" s="4" t="s">
        <v>323</v>
      </c>
    </row>
    <row r="362" spans="2:2">
      <c r="B362" s="4" t="s">
        <v>324</v>
      </c>
    </row>
    <row r="363" spans="2:2">
      <c r="B363" s="4" t="s">
        <v>325</v>
      </c>
    </row>
    <row r="364" spans="2:2">
      <c r="B364" s="3" t="s">
        <v>228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04D8-0113-4560-A02E-287709E2C011}">
  <dimension ref="A1:K46"/>
  <sheetViews>
    <sheetView showGridLines="0" zoomScaleNormal="100" workbookViewId="0">
      <selection activeCell="B20" sqref="B20:B22"/>
    </sheetView>
  </sheetViews>
  <sheetFormatPr defaultRowHeight="15.75"/>
  <cols>
    <col min="1" max="1" width="5.25" style="3" customWidth="1"/>
    <col min="2" max="2" width="82.25" style="3" customWidth="1"/>
    <col min="3" max="3" width="7" style="3" bestFit="1" customWidth="1"/>
    <col min="4" max="4" width="14.375" style="3" customWidth="1"/>
    <col min="5" max="5" width="21.625" style="3" customWidth="1"/>
    <col min="6" max="6" width="43.375" style="3" customWidth="1"/>
    <col min="7" max="7" width="64.75" style="3" customWidth="1"/>
    <col min="8" max="8" width="9.75" style="3" customWidth="1"/>
    <col min="9" max="9" width="33.25" style="3" bestFit="1" customWidth="1"/>
    <col min="10" max="10" width="11" style="3" customWidth="1"/>
    <col min="11" max="11" width="56.125" style="3" customWidth="1"/>
    <col min="12" max="16384" width="9" style="3"/>
  </cols>
  <sheetData>
    <row r="1" spans="1:11" ht="16.5" thickBot="1"/>
    <row r="2" spans="1:11" ht="16.5" thickBot="1">
      <c r="A2" s="12" t="s">
        <v>326</v>
      </c>
      <c r="B2" s="13"/>
    </row>
    <row r="3" spans="1:11" ht="16.5" thickBot="1">
      <c r="A3" s="12" t="s">
        <v>327</v>
      </c>
      <c r="B3" s="13" t="s">
        <v>328</v>
      </c>
    </row>
    <row r="5" spans="1:11" ht="16.5" thickBot="1">
      <c r="A5" s="4" t="s">
        <v>329</v>
      </c>
    </row>
    <row r="6" spans="1:11" ht="63.95" customHeight="1" thickBot="1">
      <c r="B6" s="14" t="s">
        <v>330</v>
      </c>
    </row>
    <row r="8" spans="1:11" ht="16.5" thickBot="1">
      <c r="A8" s="4" t="s">
        <v>331</v>
      </c>
    </row>
    <row r="9" spans="1:11" ht="63.95" customHeight="1" thickBot="1">
      <c r="B9" s="14" t="s">
        <v>332</v>
      </c>
    </row>
    <row r="10" spans="1:11" ht="11.25" customHeight="1"/>
    <row r="11" spans="1:11" ht="16.5" thickBot="1">
      <c r="A11" s="4" t="s">
        <v>333</v>
      </c>
    </row>
    <row r="12" spans="1:11" ht="16.5" thickBot="1">
      <c r="A12" s="4"/>
      <c r="B12" s="15" t="s">
        <v>334</v>
      </c>
      <c r="C12" s="16"/>
      <c r="D12" s="16"/>
      <c r="E12" s="16"/>
      <c r="F12" s="16"/>
      <c r="G12" s="16"/>
      <c r="H12" s="16"/>
      <c r="I12" s="17"/>
      <c r="J12" s="18"/>
      <c r="K12" s="19"/>
    </row>
    <row r="13" spans="1:11">
      <c r="B13" s="20" t="s">
        <v>335</v>
      </c>
      <c r="C13" s="21" t="s">
        <v>336</v>
      </c>
      <c r="D13" s="22" t="s">
        <v>337</v>
      </c>
      <c r="E13" s="23" t="s">
        <v>338</v>
      </c>
      <c r="F13" s="24"/>
      <c r="G13" s="25" t="s">
        <v>339</v>
      </c>
      <c r="H13" s="20" t="s">
        <v>340</v>
      </c>
      <c r="I13" s="25" t="s">
        <v>341</v>
      </c>
      <c r="J13" s="26" t="s">
        <v>342</v>
      </c>
      <c r="K13" s="27" t="s">
        <v>343</v>
      </c>
    </row>
    <row r="14" spans="1:11" ht="15.75" customHeight="1">
      <c r="B14" s="28" t="s">
        <v>344</v>
      </c>
      <c r="C14" s="29">
        <v>0.3</v>
      </c>
      <c r="D14" s="30" t="s">
        <v>345</v>
      </c>
      <c r="E14" s="31" t="s">
        <v>346</v>
      </c>
      <c r="F14" s="32" t="s">
        <v>347</v>
      </c>
      <c r="G14" s="33" t="s">
        <v>348</v>
      </c>
      <c r="H14" s="34" t="s">
        <v>349</v>
      </c>
      <c r="I14" s="32" t="s">
        <v>347</v>
      </c>
      <c r="J14" s="35" t="s">
        <v>350</v>
      </c>
      <c r="K14" s="36"/>
    </row>
    <row r="15" spans="1:11">
      <c r="B15" s="28"/>
      <c r="C15" s="37"/>
      <c r="D15" s="38"/>
      <c r="E15" s="39" t="s">
        <v>345</v>
      </c>
      <c r="F15" s="40"/>
      <c r="G15" s="41"/>
      <c r="H15" s="42" t="s">
        <v>351</v>
      </c>
      <c r="I15" s="43" t="s">
        <v>352</v>
      </c>
      <c r="J15" s="35"/>
      <c r="K15" s="36"/>
    </row>
    <row r="16" spans="1:11">
      <c r="B16" s="28"/>
      <c r="C16" s="37"/>
      <c r="D16" s="38"/>
      <c r="E16" s="44" t="s">
        <v>353</v>
      </c>
      <c r="F16" s="43" t="s">
        <v>354</v>
      </c>
      <c r="G16" s="41"/>
      <c r="H16" s="45" t="s">
        <v>355</v>
      </c>
      <c r="I16" s="43"/>
      <c r="J16" s="35"/>
      <c r="K16" s="36"/>
    </row>
    <row r="17" spans="2:11" ht="15.75" customHeight="1">
      <c r="B17" s="28" t="s">
        <v>356</v>
      </c>
      <c r="C17" s="29">
        <v>0.05</v>
      </c>
      <c r="D17" s="30" t="s">
        <v>345</v>
      </c>
      <c r="E17" s="31" t="s">
        <v>346</v>
      </c>
      <c r="F17" s="32" t="s">
        <v>347</v>
      </c>
      <c r="G17" s="33" t="s">
        <v>357</v>
      </c>
      <c r="H17" s="34" t="s">
        <v>349</v>
      </c>
      <c r="I17" s="32" t="s">
        <v>347</v>
      </c>
      <c r="J17" s="35" t="s">
        <v>350</v>
      </c>
      <c r="K17" s="36"/>
    </row>
    <row r="18" spans="2:11">
      <c r="B18" s="28"/>
      <c r="C18" s="37"/>
      <c r="D18" s="38"/>
      <c r="E18" s="39" t="s">
        <v>345</v>
      </c>
      <c r="F18" s="40"/>
      <c r="G18" s="41"/>
      <c r="H18" s="42" t="s">
        <v>351</v>
      </c>
      <c r="I18" s="43" t="s">
        <v>352</v>
      </c>
      <c r="J18" s="35"/>
      <c r="K18" s="36"/>
    </row>
    <row r="19" spans="2:11">
      <c r="B19" s="28"/>
      <c r="C19" s="37"/>
      <c r="D19" s="38"/>
      <c r="E19" s="44" t="s">
        <v>353</v>
      </c>
      <c r="F19" s="43" t="s">
        <v>354</v>
      </c>
      <c r="G19" s="41"/>
      <c r="H19" s="45" t="s">
        <v>355</v>
      </c>
      <c r="I19" s="43"/>
      <c r="J19" s="35"/>
      <c r="K19" s="36"/>
    </row>
    <row r="20" spans="2:11" ht="15.75" customHeight="1">
      <c r="B20" s="28" t="s">
        <v>358</v>
      </c>
      <c r="C20" s="29">
        <v>0.15</v>
      </c>
      <c r="D20" s="30" t="s">
        <v>345</v>
      </c>
      <c r="E20" s="31" t="s">
        <v>346</v>
      </c>
      <c r="F20" s="32" t="s">
        <v>347</v>
      </c>
      <c r="G20" s="33" t="s">
        <v>359</v>
      </c>
      <c r="H20" s="34" t="s">
        <v>349</v>
      </c>
      <c r="I20" s="32" t="s">
        <v>347</v>
      </c>
      <c r="J20" s="35" t="s">
        <v>350</v>
      </c>
      <c r="K20" s="36"/>
    </row>
    <row r="21" spans="2:11">
      <c r="B21" s="28"/>
      <c r="C21" s="37"/>
      <c r="D21" s="38"/>
      <c r="E21" s="39" t="s">
        <v>345</v>
      </c>
      <c r="F21" s="40"/>
      <c r="G21" s="41"/>
      <c r="H21" s="42" t="s">
        <v>351</v>
      </c>
      <c r="I21" s="43" t="s">
        <v>352</v>
      </c>
      <c r="J21" s="35"/>
      <c r="K21" s="36"/>
    </row>
    <row r="22" spans="2:11" ht="54" customHeight="1">
      <c r="B22" s="28"/>
      <c r="C22" s="37"/>
      <c r="D22" s="38"/>
      <c r="E22" s="44" t="s">
        <v>353</v>
      </c>
      <c r="F22" s="43" t="s">
        <v>354</v>
      </c>
      <c r="G22" s="41"/>
      <c r="H22" s="45" t="s">
        <v>355</v>
      </c>
      <c r="I22" s="43"/>
      <c r="J22" s="35"/>
      <c r="K22" s="36"/>
    </row>
    <row r="23" spans="2:11" ht="15.75" customHeight="1">
      <c r="B23" s="28" t="s">
        <v>360</v>
      </c>
      <c r="C23" s="29">
        <v>0.4</v>
      </c>
      <c r="D23" s="30" t="s">
        <v>346</v>
      </c>
      <c r="E23" s="46" t="s">
        <v>346</v>
      </c>
      <c r="F23" s="32" t="s">
        <v>347</v>
      </c>
      <c r="G23" s="33" t="s">
        <v>361</v>
      </c>
      <c r="H23" s="34" t="s">
        <v>349</v>
      </c>
      <c r="I23" s="32" t="s">
        <v>347</v>
      </c>
      <c r="J23" s="35" t="s">
        <v>350</v>
      </c>
      <c r="K23" s="36"/>
    </row>
    <row r="24" spans="2:11">
      <c r="B24" s="28"/>
      <c r="C24" s="37"/>
      <c r="D24" s="38"/>
      <c r="E24" s="47" t="s">
        <v>345</v>
      </c>
      <c r="F24" s="40"/>
      <c r="G24" s="41"/>
      <c r="H24" s="42" t="s">
        <v>351</v>
      </c>
      <c r="I24" s="43" t="s">
        <v>352</v>
      </c>
      <c r="J24" s="35"/>
      <c r="K24" s="36"/>
    </row>
    <row r="25" spans="2:11">
      <c r="B25" s="28"/>
      <c r="C25" s="37"/>
      <c r="D25" s="38"/>
      <c r="E25" s="44" t="s">
        <v>353</v>
      </c>
      <c r="F25" s="43" t="s">
        <v>354</v>
      </c>
      <c r="G25" s="41"/>
      <c r="H25" s="45" t="s">
        <v>355</v>
      </c>
      <c r="I25" s="43"/>
      <c r="J25" s="35"/>
      <c r="K25" s="36"/>
    </row>
    <row r="26" spans="2:11" ht="15.75" customHeight="1">
      <c r="B26" s="28" t="s">
        <v>362</v>
      </c>
      <c r="C26" s="29">
        <v>0.1</v>
      </c>
      <c r="D26" s="30" t="s">
        <v>345</v>
      </c>
      <c r="E26" s="31" t="s">
        <v>346</v>
      </c>
      <c r="F26" s="32" t="s">
        <v>347</v>
      </c>
      <c r="G26" s="33" t="s">
        <v>363</v>
      </c>
      <c r="H26" s="34" t="s">
        <v>349</v>
      </c>
      <c r="I26" s="32" t="s">
        <v>347</v>
      </c>
      <c r="J26" s="35" t="s">
        <v>350</v>
      </c>
      <c r="K26" s="36"/>
    </row>
    <row r="27" spans="2:11">
      <c r="B27" s="28"/>
      <c r="C27" s="37"/>
      <c r="D27" s="38"/>
      <c r="E27" s="39" t="s">
        <v>345</v>
      </c>
      <c r="F27" s="40"/>
      <c r="G27" s="41"/>
      <c r="H27" s="42" t="s">
        <v>351</v>
      </c>
      <c r="I27" s="43" t="s">
        <v>352</v>
      </c>
      <c r="J27" s="35"/>
      <c r="K27" s="36"/>
    </row>
    <row r="28" spans="2:11">
      <c r="B28" s="28"/>
      <c r="C28" s="37"/>
      <c r="D28" s="38"/>
      <c r="E28" s="44" t="s">
        <v>353</v>
      </c>
      <c r="F28" s="43" t="s">
        <v>354</v>
      </c>
      <c r="G28" s="48"/>
      <c r="H28" s="45" t="s">
        <v>355</v>
      </c>
      <c r="I28" s="43"/>
      <c r="J28" s="35"/>
      <c r="K28" s="36"/>
    </row>
    <row r="29" spans="2:11">
      <c r="B29" s="28"/>
      <c r="C29" s="29"/>
      <c r="D29" s="30" t="s">
        <v>350</v>
      </c>
      <c r="E29" s="31" t="s">
        <v>346</v>
      </c>
      <c r="F29" s="32" t="s">
        <v>347</v>
      </c>
      <c r="G29" s="33"/>
      <c r="H29" s="34" t="s">
        <v>349</v>
      </c>
      <c r="I29" s="32" t="s">
        <v>347</v>
      </c>
      <c r="J29" s="35" t="s">
        <v>350</v>
      </c>
      <c r="K29" s="36"/>
    </row>
    <row r="30" spans="2:11">
      <c r="B30" s="28"/>
      <c r="C30" s="37"/>
      <c r="D30" s="38"/>
      <c r="E30" s="47" t="s">
        <v>345</v>
      </c>
      <c r="F30" s="40"/>
      <c r="G30" s="41"/>
      <c r="H30" s="42" t="s">
        <v>351</v>
      </c>
      <c r="I30" s="43" t="s">
        <v>352</v>
      </c>
      <c r="J30" s="35"/>
      <c r="K30" s="36"/>
    </row>
    <row r="31" spans="2:11">
      <c r="B31" s="28"/>
      <c r="C31" s="37"/>
      <c r="D31" s="38"/>
      <c r="E31" s="44" t="s">
        <v>353</v>
      </c>
      <c r="F31" s="43" t="s">
        <v>354</v>
      </c>
      <c r="G31" s="41"/>
      <c r="H31" s="45" t="s">
        <v>355</v>
      </c>
      <c r="I31" s="43"/>
      <c r="J31" s="35"/>
      <c r="K31" s="36"/>
    </row>
    <row r="32" spans="2:11">
      <c r="B32" s="28"/>
      <c r="C32" s="29"/>
      <c r="D32" s="30" t="s">
        <v>350</v>
      </c>
      <c r="E32" s="31" t="s">
        <v>346</v>
      </c>
      <c r="F32" s="32" t="s">
        <v>347</v>
      </c>
      <c r="G32" s="33"/>
      <c r="H32" s="34" t="s">
        <v>349</v>
      </c>
      <c r="I32" s="32" t="s">
        <v>347</v>
      </c>
      <c r="J32" s="35" t="s">
        <v>350</v>
      </c>
      <c r="K32" s="36"/>
    </row>
    <row r="33" spans="2:11">
      <c r="B33" s="28"/>
      <c r="C33" s="37"/>
      <c r="D33" s="38"/>
      <c r="E33" s="47" t="s">
        <v>345</v>
      </c>
      <c r="F33" s="40"/>
      <c r="G33" s="41"/>
      <c r="H33" s="42" t="s">
        <v>351</v>
      </c>
      <c r="I33" s="43" t="s">
        <v>352</v>
      </c>
      <c r="J33" s="35"/>
      <c r="K33" s="36"/>
    </row>
    <row r="34" spans="2:11" ht="16.5" thickBot="1">
      <c r="B34" s="28"/>
      <c r="C34" s="49"/>
      <c r="D34" s="50"/>
      <c r="E34" s="51" t="s">
        <v>353</v>
      </c>
      <c r="F34" s="52" t="s">
        <v>354</v>
      </c>
      <c r="G34" s="53"/>
      <c r="H34" s="54" t="s">
        <v>355</v>
      </c>
      <c r="I34" s="52"/>
      <c r="J34" s="55"/>
      <c r="K34" s="56"/>
    </row>
    <row r="35" spans="2:11" ht="16.5" thickBot="1">
      <c r="B35" s="57" t="s">
        <v>364</v>
      </c>
      <c r="C35" s="58">
        <f>SUM(C14:C34)</f>
        <v>1</v>
      </c>
    </row>
    <row r="36" spans="2:11">
      <c r="F36" s="59" t="s">
        <v>365</v>
      </c>
    </row>
    <row r="37" spans="2:11">
      <c r="B37" s="3" t="s">
        <v>366</v>
      </c>
      <c r="F37" s="3" t="s">
        <v>367</v>
      </c>
    </row>
    <row r="38" spans="2:11">
      <c r="F38" s="3" t="s">
        <v>368</v>
      </c>
    </row>
    <row r="39" spans="2:11">
      <c r="B39" s="60" t="s">
        <v>369</v>
      </c>
      <c r="F39" s="3" t="s">
        <v>370</v>
      </c>
    </row>
    <row r="40" spans="2:11">
      <c r="B40" s="60" t="s">
        <v>371</v>
      </c>
    </row>
    <row r="41" spans="2:11">
      <c r="B41" s="60" t="s">
        <v>372</v>
      </c>
      <c r="F41" s="3" t="s">
        <v>373</v>
      </c>
    </row>
    <row r="42" spans="2:11">
      <c r="B42" s="60" t="s">
        <v>374</v>
      </c>
      <c r="F42" s="3" t="s">
        <v>375</v>
      </c>
    </row>
    <row r="43" spans="2:11">
      <c r="B43" s="60" t="s">
        <v>376</v>
      </c>
    </row>
    <row r="44" spans="2:11">
      <c r="B44" s="60" t="s">
        <v>377</v>
      </c>
      <c r="F44" s="3" t="s">
        <v>378</v>
      </c>
    </row>
    <row r="45" spans="2:11">
      <c r="B45" s="60" t="s">
        <v>379</v>
      </c>
      <c r="F45" s="3" t="s">
        <v>380</v>
      </c>
    </row>
    <row r="46" spans="2:11">
      <c r="F46" s="3" t="s">
        <v>381</v>
      </c>
    </row>
  </sheetData>
  <mergeCells count="45">
    <mergeCell ref="B32:B34"/>
    <mergeCell ref="C32:C34"/>
    <mergeCell ref="D32:D34"/>
    <mergeCell ref="G32:G34"/>
    <mergeCell ref="J32:J34"/>
    <mergeCell ref="K32:K34"/>
    <mergeCell ref="B29:B31"/>
    <mergeCell ref="C29:C31"/>
    <mergeCell ref="D29:D31"/>
    <mergeCell ref="G29:G31"/>
    <mergeCell ref="J29:J31"/>
    <mergeCell ref="K29:K31"/>
    <mergeCell ref="B26:B28"/>
    <mergeCell ref="C26:C28"/>
    <mergeCell ref="D26:D28"/>
    <mergeCell ref="G26:G28"/>
    <mergeCell ref="J26:J28"/>
    <mergeCell ref="K26:K28"/>
    <mergeCell ref="B23:B25"/>
    <mergeCell ref="C23:C25"/>
    <mergeCell ref="D23:D25"/>
    <mergeCell ref="G23:G25"/>
    <mergeCell ref="J23:J25"/>
    <mergeCell ref="K23:K25"/>
    <mergeCell ref="B20:B22"/>
    <mergeCell ref="C20:C22"/>
    <mergeCell ref="D20:D22"/>
    <mergeCell ref="G20:G22"/>
    <mergeCell ref="J20:J22"/>
    <mergeCell ref="K20:K22"/>
    <mergeCell ref="B17:B19"/>
    <mergeCell ref="C17:C19"/>
    <mergeCell ref="D17:D19"/>
    <mergeCell ref="G17:G19"/>
    <mergeCell ref="J17:J19"/>
    <mergeCell ref="K17:K19"/>
    <mergeCell ref="B12:I12"/>
    <mergeCell ref="J12:K12"/>
    <mergeCell ref="E13:F13"/>
    <mergeCell ref="B14:B16"/>
    <mergeCell ref="C14:C16"/>
    <mergeCell ref="D14:D16"/>
    <mergeCell ref="G14:G16"/>
    <mergeCell ref="J14:J16"/>
    <mergeCell ref="K14:K16"/>
  </mergeCells>
  <phoneticPr fontId="2"/>
  <conditionalFormatting sqref="I14:I34">
    <cfRule type="expression" dxfId="0" priority="1">
      <formula>$D$14=I14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期初 (WEB)</vt:lpstr>
    </vt:vector>
  </TitlesOfParts>
  <Company>Panasonic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Hoashi Masakazu (帆足 正和)</dc:creator>
  <cp:lastModifiedBy>Hoashi Masakazu (帆足 正和)</cp:lastModifiedBy>
  <dcterms:created xsi:type="dcterms:W3CDTF">2026-09-07T00:23:10Z</dcterms:created>
  <dcterms:modified xsi:type="dcterms:W3CDTF">2026-09-11T10:54:42Z</dcterms:modified>
</cp:coreProperties>
</file>